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ocon\Desktop\"/>
    </mc:Choice>
  </mc:AlternateContent>
  <xr:revisionPtr revIDLastSave="0" documentId="13_ncr:1_{4D201C5D-F369-4514-A93C-53C08CEB0ED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0_README" sheetId="1" r:id="rId1"/>
    <sheet name="1_SRT_Activity" sheetId="2" r:id="rId2"/>
    <sheet name="2_FTE_Demand" sheetId="3" r:id="rId3"/>
    <sheet name="3_Weekly_Raw" sheetId="4" r:id="rId4"/>
    <sheet name="4_Attendance_%" sheetId="5" r:id="rId5"/>
    <sheet name="5_Attrition" sheetId="6" r:id="rId6"/>
    <sheet name="6_BUFFER_MASTE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7" l="1"/>
  <c r="C18" i="7"/>
  <c r="B18" i="7"/>
  <c r="I29" i="6"/>
  <c r="D8" i="7" s="1"/>
  <c r="H29" i="6"/>
  <c r="G29" i="6"/>
  <c r="F29" i="6"/>
  <c r="E29" i="6"/>
  <c r="D29" i="6"/>
  <c r="C29" i="6"/>
  <c r="B29" i="6"/>
  <c r="I28" i="6"/>
  <c r="I30" i="6" s="1"/>
  <c r="H28" i="6"/>
  <c r="H30" i="6" s="1"/>
  <c r="G28" i="6"/>
  <c r="G30" i="6" s="1"/>
  <c r="F28" i="6"/>
  <c r="F30" i="6" s="1"/>
  <c r="E28" i="6"/>
  <c r="E30" i="6" s="1"/>
  <c r="D28" i="6"/>
  <c r="D30" i="6" s="1"/>
  <c r="C28" i="6"/>
  <c r="C30" i="6" s="1"/>
  <c r="B28" i="6"/>
  <c r="I19" i="6"/>
  <c r="H19" i="6"/>
  <c r="G19" i="6"/>
  <c r="F19" i="6"/>
  <c r="E19" i="6"/>
  <c r="D19" i="6"/>
  <c r="C19" i="6"/>
  <c r="B19" i="6"/>
  <c r="I18" i="6"/>
  <c r="I20" i="6" s="1"/>
  <c r="C8" i="7" s="1"/>
  <c r="H18" i="6"/>
  <c r="H20" i="6" s="1"/>
  <c r="G18" i="6"/>
  <c r="G20" i="6" s="1"/>
  <c r="F18" i="6"/>
  <c r="F20" i="6" s="1"/>
  <c r="E18" i="6"/>
  <c r="E20" i="6" s="1"/>
  <c r="D18" i="6"/>
  <c r="D20" i="6" s="1"/>
  <c r="C18" i="6"/>
  <c r="C20" i="6" s="1"/>
  <c r="B18" i="6"/>
  <c r="I9" i="6"/>
  <c r="H9" i="6"/>
  <c r="G9" i="6"/>
  <c r="F9" i="6"/>
  <c r="E9" i="6"/>
  <c r="D9" i="6"/>
  <c r="C9" i="6"/>
  <c r="B9" i="6"/>
  <c r="I8" i="6"/>
  <c r="I10" i="6" s="1"/>
  <c r="H8" i="6"/>
  <c r="H10" i="6" s="1"/>
  <c r="G8" i="6"/>
  <c r="G10" i="6" s="1"/>
  <c r="F8" i="6"/>
  <c r="F10" i="6" s="1"/>
  <c r="E8" i="6"/>
  <c r="E10" i="6" s="1"/>
  <c r="D8" i="6"/>
  <c r="D10" i="6" s="1"/>
  <c r="C8" i="6"/>
  <c r="C10" i="6" s="1"/>
  <c r="B8" i="6"/>
  <c r="G15" i="4"/>
  <c r="D6" i="5" s="1"/>
  <c r="G14" i="4"/>
  <c r="C6" i="5" s="1"/>
  <c r="G13" i="4"/>
  <c r="B6" i="5" s="1"/>
  <c r="G11" i="4"/>
  <c r="D5" i="5" s="1"/>
  <c r="G10" i="4"/>
  <c r="C5" i="5" s="1"/>
  <c r="G9" i="4"/>
  <c r="B5" i="5" s="1"/>
  <c r="G7" i="4"/>
  <c r="D4" i="5" s="1"/>
  <c r="G6" i="4"/>
  <c r="C4" i="5" s="1"/>
  <c r="G5" i="4"/>
  <c r="B4" i="5" s="1"/>
  <c r="C8" i="3"/>
  <c r="D8" i="3" s="1"/>
  <c r="C7" i="3"/>
  <c r="D7" i="3" s="1"/>
  <c r="C6" i="3"/>
  <c r="D6" i="3" s="1"/>
  <c r="G6" i="2"/>
  <c r="H6" i="2" s="1"/>
  <c r="D5" i="7" s="1"/>
  <c r="G5" i="2"/>
  <c r="H5" i="2" s="1"/>
  <c r="C5" i="7" s="1"/>
  <c r="G4" i="2"/>
  <c r="H4" i="2" s="1"/>
  <c r="B5" i="7" s="1"/>
  <c r="E31" i="6" l="1"/>
  <c r="D31" i="6"/>
  <c r="F31" i="6"/>
  <c r="H31" i="6"/>
  <c r="I31" i="6"/>
  <c r="B31" i="6"/>
  <c r="G31" i="6"/>
  <c r="B30" i="6"/>
  <c r="C31" i="6"/>
  <c r="F21" i="6"/>
  <c r="B21" i="6"/>
  <c r="H21" i="6"/>
  <c r="I21" i="6"/>
  <c r="G21" i="6"/>
  <c r="E21" i="6"/>
  <c r="D21" i="6"/>
  <c r="C21" i="6"/>
  <c r="B20" i="6"/>
  <c r="C11" i="6"/>
  <c r="I11" i="6"/>
  <c r="B8" i="7" s="1"/>
  <c r="H11" i="6"/>
  <c r="G11" i="6"/>
  <c r="D11" i="6"/>
  <c r="E11" i="6"/>
  <c r="B10" i="6"/>
  <c r="B11" i="6"/>
  <c r="F11" i="6"/>
  <c r="D13" i="7"/>
  <c r="F8" i="3"/>
  <c r="G8" i="3" s="1"/>
  <c r="F7" i="3"/>
  <c r="G7" i="3" s="1"/>
  <c r="C13" i="7"/>
  <c r="F6" i="3"/>
  <c r="G6" i="3" s="1"/>
  <c r="B13" i="7"/>
  <c r="F6" i="5"/>
  <c r="D7" i="7" s="1"/>
  <c r="E6" i="5"/>
  <c r="F5" i="5"/>
  <c r="C7" i="7" s="1"/>
  <c r="E5" i="5"/>
  <c r="F4" i="5"/>
  <c r="B7" i="7" s="1"/>
  <c r="E4" i="5"/>
  <c r="D6" i="7" l="1"/>
  <c r="G6" i="5"/>
  <c r="C6" i="7"/>
  <c r="G5" i="5"/>
  <c r="B6" i="7"/>
  <c r="G4" i="5"/>
  <c r="D23" i="7" l="1"/>
  <c r="D24" i="7" s="1"/>
  <c r="D9" i="7"/>
  <c r="D12" i="7" s="1"/>
  <c r="D14" i="7" s="1"/>
  <c r="D15" i="7" s="1"/>
  <c r="D19" i="7" s="1"/>
  <c r="D20" i="7" s="1"/>
  <c r="C9" i="7"/>
  <c r="C12" i="7" s="1"/>
  <c r="C14" i="7" s="1"/>
  <c r="C15" i="7" s="1"/>
  <c r="C19" i="7" s="1"/>
  <c r="C20" i="7" s="1"/>
  <c r="C23" i="7"/>
  <c r="C24" i="7" s="1"/>
  <c r="B9" i="7"/>
  <c r="B12" i="7" s="1"/>
  <c r="B14" i="7" s="1"/>
  <c r="B15" i="7" s="1"/>
  <c r="B19" i="7" s="1"/>
  <c r="B20" i="7" s="1"/>
  <c r="B23" i="7"/>
  <c r="B24" i="7" s="1"/>
</calcChain>
</file>

<file path=xl/sharedStrings.xml><?xml version="1.0" encoding="utf-8"?>
<sst xmlns="http://schemas.openxmlformats.org/spreadsheetml/2006/main" count="190" uniqueCount="131">
  <si>
    <t>BPO WORKFORCE BUFFER PLANNING MODEL</t>
  </si>
  <si>
    <t>PURPOSE</t>
  </si>
  <si>
    <t>This workbook calculates required buffer headcount for a BPO project by stacking</t>
  </si>
  <si>
    <t>all sources of shrinkage and applying the inverse-shrinkage formula.</t>
  </si>
  <si>
    <t>HOW TO READ EACH TAB</t>
  </si>
  <si>
    <t>Tab 1 — SRT_Activity:   Internal/activity shrinkage (meetings, training, coaching)</t>
  </si>
  <si>
    <t>Tab 2 — FTE_Demand:     Required FTE based on client hours demand</t>
  </si>
  <si>
    <t>Tab 3 — Weekly_Raw:     Raw weekly counts of schedule, planned leave, absence</t>
  </si>
  <si>
    <t>Tab 4 — Attendance_%:   Planned and unplanned absenteeism rates (calc from Tab 3)</t>
  </si>
  <si>
    <t>Tab 6 — BUFFER_MASTER:  ★ Final shrinkage stack and buffer headcount calculation</t>
  </si>
  <si>
    <t>COLOR CODING</t>
  </si>
  <si>
    <t xml:space="preserve">  Blue text  = Input cells (change these to test scenarios)</t>
  </si>
  <si>
    <t xml:space="preserve">  Black text = Calculated values (formulas)</t>
  </si>
  <si>
    <t xml:space="preserve">  Green text = Cross-sheet links</t>
  </si>
  <si>
    <t xml:space="preserve">  Yellow background = Key assumptions</t>
  </si>
  <si>
    <t xml:space="preserve">  Green background = Final result</t>
  </si>
  <si>
    <t>THE CORE METHODOLOGY</t>
  </si>
  <si>
    <t>Step 1: Calculate the shrinkage stack (4 layers added together):</t>
  </si>
  <si>
    <t xml:space="preserve">   Layer 1: Internal Activity Shrinkage % = 1 - Available %</t>
  </si>
  <si>
    <t xml:space="preserve">   Layer 2: Planned Leave %               = Planned leave days / Scheduled days</t>
  </si>
  <si>
    <t xml:space="preserve">   Layer 3: Unplanned Absenteeism %       = Absent days / Scheduled days</t>
  </si>
  <si>
    <t xml:space="preserve">   Layer 4: Monthly Attrition Rate        = Rolling Annualized Attrition / 12</t>
  </si>
  <si>
    <t xml:space="preserve">   Total Shrinkage % = Layer 1 + Layer 2 + Layer 3 + Layer 4</t>
  </si>
  <si>
    <t>Step 2: Convert shrinkage to buffer % using the inverse formula:</t>
  </si>
  <si>
    <t xml:space="preserve">   Buffer % = Total Shrinkage / (1 - Total Shrinkage)</t>
  </si>
  <si>
    <t>Step 3: Apply buffer to base FTE:</t>
  </si>
  <si>
    <t xml:space="preserve">   Buffer Headcount     = Required FTE × Buffer %</t>
  </si>
  <si>
    <t xml:space="preserve">   Total Required HC    = Required FTE + Buffer Headcount</t>
  </si>
  <si>
    <t xml:space="preserve">                        = Required FTE / (1 - Total Shrinkage)</t>
  </si>
  <si>
    <t>Step 4: Reconcile against Actual HC to decide hire / hold / redeploy</t>
  </si>
  <si>
    <t>SRT ACTIVITY TRACKING — INTERNAL SHRINKAGE BY LOB</t>
  </si>
  <si>
    <t>LOB</t>
  </si>
  <si>
    <t>Team Meeting %</t>
  </si>
  <si>
    <t>Wellness %</t>
  </si>
  <si>
    <t>Training %</t>
  </si>
  <si>
    <t>Onboarding %</t>
  </si>
  <si>
    <t>Coaching %</t>
  </si>
  <si>
    <t>Available %</t>
  </si>
  <si>
    <t>Internal Shrinkage %</t>
  </si>
  <si>
    <t>NOTES</t>
  </si>
  <si>
    <t>• Internal Shrinkage = time agents are paid but NOT on the queue (meetings, training, etc.)</t>
  </si>
  <si>
    <t>• Available % is what an interviewer may call Utilization — the % of paid time spent productive</t>
  </si>
  <si>
    <t>• Business Onboarding shows highest internal shrinkage due to ramp-period training load</t>
  </si>
  <si>
    <t>FTE DEMAND vs SUPPLY (Client Hours-based)</t>
  </si>
  <si>
    <t>Productive hours per FTE per month:</t>
  </si>
  <si>
    <t>(7 prod hrs/day × ~19 working days)</t>
  </si>
  <si>
    <t>Required Hours/Mo</t>
  </si>
  <si>
    <t>Productive Hrs/FTE</t>
  </si>
  <si>
    <t>Required FTE</t>
  </si>
  <si>
    <t>Actual HC</t>
  </si>
  <si>
    <t>HC (+/-)</t>
  </si>
  <si>
    <t>Status</t>
  </si>
  <si>
    <t>• Required FTE = the productive bodies needed on the queue BEFORE shrinkage is applied</t>
  </si>
  <si>
    <t>• This is the BASE HEADCOUNT for the buffer calculation in the master sheet</t>
  </si>
  <si>
    <t>• 'Actual HC' here is the current total roster — already includes whatever buffer was hired</t>
  </si>
  <si>
    <t>WEEKLY RAW DATA — Schedule, Planned Leave, Absence by LOB</t>
  </si>
  <si>
    <t>LOB / Metric</t>
  </si>
  <si>
    <t>W1 (Nov 02)</t>
  </si>
  <si>
    <t>W2 (Nov 09)</t>
  </si>
  <si>
    <t>W3 (Nov 16)</t>
  </si>
  <si>
    <t>W4 (Nov 23)</t>
  </si>
  <si>
    <t>W5 (Nov 30)</t>
  </si>
  <si>
    <t>Total</t>
  </si>
  <si>
    <t xml:space="preserve">  Count of Schedule</t>
  </si>
  <si>
    <t xml:space="preserve">  Count of Planned Leave</t>
  </si>
  <si>
    <t xml:space="preserve">  Count of Absence</t>
  </si>
  <si>
    <t>• 'Schedule' = raw count of scheduled person-days that week (everyone rostered)</t>
  </si>
  <si>
    <t>• 'Planned Leave' = approved leave taken (vacation, annual, etc.)</t>
  </si>
  <si>
    <t>• 'Absence' = unplanned absence (sick leave, no-show, etc.)</t>
  </si>
  <si>
    <t>ATTENDANCE SHRINKAGE — Planned &amp; Unplanned % by LOB</t>
  </si>
  <si>
    <t>Total Schedule</t>
  </si>
  <si>
    <t>Total Planned Leave</t>
  </si>
  <si>
    <t>Total Absence</t>
  </si>
  <si>
    <t>Planned Leave %</t>
  </si>
  <si>
    <t>Unplanned Absent %</t>
  </si>
  <si>
    <t>Total Attendance Shrinkage %</t>
  </si>
  <si>
    <t>• Planned and Unplanned ARE combined for shrinkage math — both reduce floor staffing</t>
  </si>
  <si>
    <t>• Diagnostically they're different: Planned = controllable lever; Unplanned = engagement signal</t>
  </si>
  <si>
    <t>• Business Onboarding's high unplanned % is typical for ramp/new-hire LOBs</t>
  </si>
  <si>
    <t>Metric</t>
  </si>
  <si>
    <t>Jan</t>
  </si>
  <si>
    <t>Feb</t>
  </si>
  <si>
    <t>Mar</t>
  </si>
  <si>
    <t>Apr</t>
  </si>
  <si>
    <t>May</t>
  </si>
  <si>
    <t>Jun</t>
  </si>
  <si>
    <t>Jul</t>
  </si>
  <si>
    <t>Aug</t>
  </si>
  <si>
    <t>Starting HC</t>
  </si>
  <si>
    <t>Ending HC</t>
  </si>
  <si>
    <t>Total Attrition</t>
  </si>
  <si>
    <t>YTD Attrition</t>
  </si>
  <si>
    <t>Annualized Attrition %</t>
  </si>
  <si>
    <t>Rolling Annualized %</t>
  </si>
  <si>
    <t>• Annualized = the single month's rate × 12 — volatile, only useful for spotting bad months</t>
  </si>
  <si>
    <t>• Rolling Annualized = average of monthly rates × 12 — this is THE PLANNING NUMBER</t>
  </si>
  <si>
    <t>• For buffer math, divide Rolling Annualized by 12 to get smoothed monthly attrition rate</t>
  </si>
  <si>
    <t>★ SHRINKAGE STACK &amp; BUFFER HEADCOUNT — MASTER CALCULATION</t>
  </si>
  <si>
    <t>SHRINKAGE STACK</t>
  </si>
  <si>
    <t>Layer 1: Internal Activity Shrinkage %</t>
  </si>
  <si>
    <t>Layer 2: Planned Leave %</t>
  </si>
  <si>
    <t>Layer 3: Unplanned Absenteeism %</t>
  </si>
  <si>
    <t>Layer 4: Monthly Attrition Rate</t>
  </si>
  <si>
    <t>TOTAL SHRINKAGE %</t>
  </si>
  <si>
    <t>BUFFER CALCULATION</t>
  </si>
  <si>
    <t>Buffer % = Shrinkage / (1 − Shrinkage)</t>
  </si>
  <si>
    <t>Base Headcount (Required FTE)</t>
  </si>
  <si>
    <t>Buffer Headcount</t>
  </si>
  <si>
    <t>TOTAL REQUIRED HEADCOUNT</t>
  </si>
  <si>
    <t>RECONCILIATION vs CURRENT ACTUAL HC</t>
  </si>
  <si>
    <t>Actual HC (current)</t>
  </si>
  <si>
    <t>Gap (Actual − Required Total)</t>
  </si>
  <si>
    <t>Action</t>
  </si>
  <si>
    <t>DIAGNOSTIC — WHICH LEVER TO PULL?</t>
  </si>
  <si>
    <t>Biggest shrinkage layer:</t>
  </si>
  <si>
    <t>Recommended lever:</t>
  </si>
  <si>
    <t>METHODOLOGY REMINDER</t>
  </si>
  <si>
    <t>1. Build the shrinkage stack: Internal Activity + Planned Leave + Unplanned Absent + Attrition</t>
  </si>
  <si>
    <t>2. Convert shrinkage to buffer %: Shrinkage / (1 − Shrinkage)</t>
  </si>
  <si>
    <t>3. Apply buffer: Buffer HC = Base FTE × Buffer %</t>
  </si>
  <si>
    <t>4. Total Required = Base FTE + Buffer HC (or equivalently Base / (1 − Shrinkage))</t>
  </si>
  <si>
    <t>5. Compare to Actual HC → decide hire / hold / redeploy</t>
  </si>
  <si>
    <t>6. Look at biggest shrinkage component → pick the right lever to manage it</t>
  </si>
  <si>
    <t>Tab 5 — Attrition:      Monthly/annualized/rolling attrition</t>
  </si>
  <si>
    <t>B Market</t>
  </si>
  <si>
    <t>S Market</t>
  </si>
  <si>
    <t>O Market</t>
  </si>
  <si>
    <t>I Market</t>
  </si>
  <si>
    <t>Monthly Attrition %</t>
  </si>
  <si>
    <t>• Monthly Attrition % uses Average HC ((Start + End) / 2)</t>
  </si>
  <si>
    <t>ATTRITION — Monthly, YTD, Annualized, Rolling Annualized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</si>
</sst>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(0\)"/>
  </numFmts>
  <fonts count="12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sz val="10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i/>
      <sz val="9"/>
      <name val="Arial"/>
      <charset val="1"/>
    </font>
    <font>
      <sz val="10"/>
      <color rgb="FF008000"/>
      <name val="Arial"/>
      <charset val="1"/>
    </font>
    <font>
      <b/>
      <sz val="10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FFE699"/>
        <bgColor rgb="FFFFCC99"/>
      </patternFill>
    </fill>
    <fill>
      <patternFill patternType="solid">
        <fgColor rgb="FFD9E1F2"/>
        <bgColor rgb="FFC6EFCE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6" fillId="5" borderId="0" xfId="0" applyFont="1" applyFill="1"/>
    <xf numFmtId="0" fontId="1" fillId="0" borderId="0" xfId="0" applyFont="1"/>
    <xf numFmtId="0" fontId="9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0" fontId="7" fillId="0" borderId="1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0" fontId="6" fillId="0" borderId="0" xfId="0" applyFont="1"/>
    <xf numFmtId="2" fontId="7" fillId="4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2" fillId="0" borderId="1" xfId="0" applyFont="1" applyBorder="1" applyAlignment="1">
      <alignment horizontal="left" vertical="center"/>
    </xf>
    <xf numFmtId="1" fontId="10" fillId="0" borderId="1" xfId="0" applyNumberFormat="1" applyFont="1" applyBorder="1" applyAlignment="1">
      <alignment horizontal="center" vertical="center"/>
    </xf>
    <xf numFmtId="0" fontId="0" fillId="5" borderId="0" xfId="0" applyFill="1"/>
    <xf numFmtId="0" fontId="11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10" fontId="10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0" xfId="0" applyFont="1"/>
    <xf numFmtId="0" fontId="9" fillId="0" borderId="0" xfId="0" applyFont="1"/>
    <xf numFmtId="0" fontId="6" fillId="5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42"/>
  <sheetViews>
    <sheetView tabSelected="1" zoomScaleNormal="100" workbookViewId="0">
      <selection activeCell="B1" sqref="B1"/>
    </sheetView>
  </sheetViews>
  <sheetFormatPr defaultColWidth="8.6640625" defaultRowHeight="14.4" x14ac:dyDescent="0.3"/>
  <cols>
    <col min="1" max="1" width="4" customWidth="1"/>
    <col min="2" max="2" width="90" customWidth="1"/>
  </cols>
  <sheetData>
    <row r="1" spans="2:2" ht="17.399999999999999" x14ac:dyDescent="0.3">
      <c r="B1" s="2" t="s">
        <v>0</v>
      </c>
    </row>
    <row r="2" spans="2:2" x14ac:dyDescent="0.3">
      <c r="B2" s="4"/>
    </row>
    <row r="3" spans="2:2" x14ac:dyDescent="0.3">
      <c r="B3" s="5" t="s">
        <v>1</v>
      </c>
    </row>
    <row r="4" spans="2:2" x14ac:dyDescent="0.3">
      <c r="B4" s="4" t="s">
        <v>2</v>
      </c>
    </row>
    <row r="5" spans="2:2" x14ac:dyDescent="0.3">
      <c r="B5" s="4" t="s">
        <v>3</v>
      </c>
    </row>
    <row r="6" spans="2:2" x14ac:dyDescent="0.3">
      <c r="B6" s="4"/>
    </row>
    <row r="7" spans="2:2" x14ac:dyDescent="0.3">
      <c r="B7" s="5" t="s">
        <v>4</v>
      </c>
    </row>
    <row r="8" spans="2:2" x14ac:dyDescent="0.3">
      <c r="B8" s="4"/>
    </row>
    <row r="9" spans="2:2" x14ac:dyDescent="0.3">
      <c r="B9" s="4" t="s">
        <v>5</v>
      </c>
    </row>
    <row r="10" spans="2:2" x14ac:dyDescent="0.3">
      <c r="B10" s="4" t="s">
        <v>6</v>
      </c>
    </row>
    <row r="11" spans="2:2" x14ac:dyDescent="0.3">
      <c r="B11" s="4" t="s">
        <v>7</v>
      </c>
    </row>
    <row r="12" spans="2:2" x14ac:dyDescent="0.3">
      <c r="B12" s="4" t="s">
        <v>8</v>
      </c>
    </row>
    <row r="13" spans="2:2" x14ac:dyDescent="0.3">
      <c r="B13" s="4" t="s">
        <v>123</v>
      </c>
    </row>
    <row r="14" spans="2:2" x14ac:dyDescent="0.3">
      <c r="B14" s="4" t="s">
        <v>9</v>
      </c>
    </row>
    <row r="15" spans="2:2" x14ac:dyDescent="0.3">
      <c r="B15" s="4"/>
    </row>
    <row r="16" spans="2:2" x14ac:dyDescent="0.3">
      <c r="B16" s="5" t="s">
        <v>10</v>
      </c>
    </row>
    <row r="17" spans="2:2" x14ac:dyDescent="0.3">
      <c r="B17" s="4"/>
    </row>
    <row r="18" spans="2:2" x14ac:dyDescent="0.3">
      <c r="B18" s="4" t="s">
        <v>11</v>
      </c>
    </row>
    <row r="19" spans="2:2" x14ac:dyDescent="0.3">
      <c r="B19" s="4" t="s">
        <v>12</v>
      </c>
    </row>
    <row r="20" spans="2:2" x14ac:dyDescent="0.3">
      <c r="B20" s="4" t="s">
        <v>13</v>
      </c>
    </row>
    <row r="21" spans="2:2" x14ac:dyDescent="0.3">
      <c r="B21" s="4" t="s">
        <v>14</v>
      </c>
    </row>
    <row r="22" spans="2:2" x14ac:dyDescent="0.3">
      <c r="B22" s="4" t="s">
        <v>15</v>
      </c>
    </row>
    <row r="23" spans="2:2" x14ac:dyDescent="0.3">
      <c r="B23" s="4"/>
    </row>
    <row r="24" spans="2:2" x14ac:dyDescent="0.3">
      <c r="B24" s="5" t="s">
        <v>16</v>
      </c>
    </row>
    <row r="25" spans="2:2" x14ac:dyDescent="0.3">
      <c r="B25" s="4"/>
    </row>
    <row r="26" spans="2:2" x14ac:dyDescent="0.3">
      <c r="B26" s="4" t="s">
        <v>17</v>
      </c>
    </row>
    <row r="27" spans="2:2" x14ac:dyDescent="0.3">
      <c r="B27" s="4" t="s">
        <v>18</v>
      </c>
    </row>
    <row r="28" spans="2:2" x14ac:dyDescent="0.3">
      <c r="B28" s="4" t="s">
        <v>19</v>
      </c>
    </row>
    <row r="29" spans="2:2" x14ac:dyDescent="0.3">
      <c r="B29" s="4" t="s">
        <v>20</v>
      </c>
    </row>
    <row r="30" spans="2:2" x14ac:dyDescent="0.3">
      <c r="B30" s="4" t="s">
        <v>21</v>
      </c>
    </row>
    <row r="31" spans="2:2" x14ac:dyDescent="0.3">
      <c r="B31" s="4"/>
    </row>
    <row r="32" spans="2:2" x14ac:dyDescent="0.3">
      <c r="B32" s="4" t="s">
        <v>22</v>
      </c>
    </row>
    <row r="33" spans="2:2" x14ac:dyDescent="0.3">
      <c r="B33" s="4"/>
    </row>
    <row r="34" spans="2:2" x14ac:dyDescent="0.3">
      <c r="B34" s="4" t="s">
        <v>23</v>
      </c>
    </row>
    <row r="35" spans="2:2" x14ac:dyDescent="0.3">
      <c r="B35" s="4" t="s">
        <v>24</v>
      </c>
    </row>
    <row r="36" spans="2:2" x14ac:dyDescent="0.3">
      <c r="B36" s="4"/>
    </row>
    <row r="37" spans="2:2" x14ac:dyDescent="0.3">
      <c r="B37" s="4" t="s">
        <v>25</v>
      </c>
    </row>
    <row r="38" spans="2:2" x14ac:dyDescent="0.3">
      <c r="B38" s="4" t="s">
        <v>26</v>
      </c>
    </row>
    <row r="39" spans="2:2" x14ac:dyDescent="0.3">
      <c r="B39" s="4" t="s">
        <v>27</v>
      </c>
    </row>
    <row r="40" spans="2:2" x14ac:dyDescent="0.3">
      <c r="B40" s="4" t="s">
        <v>28</v>
      </c>
    </row>
    <row r="41" spans="2:2" x14ac:dyDescent="0.3">
      <c r="B41" s="4"/>
    </row>
    <row r="42" spans="2:2" x14ac:dyDescent="0.3">
      <c r="B42" s="4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zoomScaleNormal="100" workbookViewId="0">
      <selection activeCell="A7" sqref="A7"/>
    </sheetView>
  </sheetViews>
  <sheetFormatPr defaultColWidth="8.6640625" defaultRowHeight="14.4" x14ac:dyDescent="0.3"/>
  <cols>
    <col min="1" max="1" width="24" customWidth="1"/>
    <col min="2" max="7" width="16" customWidth="1"/>
    <col min="8" max="8" width="21.44140625" bestFit="1" customWidth="1"/>
  </cols>
  <sheetData>
    <row r="1" spans="1:8" ht="16.8" x14ac:dyDescent="0.3">
      <c r="A1" s="30" t="s">
        <v>30</v>
      </c>
      <c r="B1" s="30"/>
      <c r="C1" s="30"/>
      <c r="D1" s="30"/>
      <c r="E1" s="30"/>
      <c r="F1" s="30"/>
      <c r="G1" s="30"/>
      <c r="H1" s="30"/>
    </row>
    <row r="3" spans="1:8" x14ac:dyDescent="0.3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</row>
    <row r="4" spans="1:8" x14ac:dyDescent="0.3">
      <c r="A4" s="7" t="s">
        <v>125</v>
      </c>
      <c r="B4" s="8">
        <v>0.02</v>
      </c>
      <c r="C4" s="8">
        <v>1.4999999999999999E-2</v>
      </c>
      <c r="D4" s="8">
        <v>0.02</v>
      </c>
      <c r="E4" s="8">
        <v>5.0000000000000001E-3</v>
      </c>
      <c r="F4" s="8">
        <v>0.03</v>
      </c>
      <c r="G4" s="9">
        <f>1-SUM(B4:F4)</f>
        <v>0.91</v>
      </c>
      <c r="H4" s="10">
        <f>1-G4</f>
        <v>8.9999999999999969E-2</v>
      </c>
    </row>
    <row r="5" spans="1:8" x14ac:dyDescent="0.3">
      <c r="A5" s="7" t="s">
        <v>127</v>
      </c>
      <c r="B5" s="8">
        <v>2.1999999999999999E-2</v>
      </c>
      <c r="C5" s="8">
        <v>1.7000000000000001E-2</v>
      </c>
      <c r="D5" s="8">
        <v>3.5000000000000003E-2</v>
      </c>
      <c r="E5" s="8">
        <v>0.01</v>
      </c>
      <c r="F5" s="8">
        <v>3.5000000000000003E-2</v>
      </c>
      <c r="G5" s="9">
        <f>1-SUM(B5:F5)</f>
        <v>0.88100000000000001</v>
      </c>
      <c r="H5" s="10">
        <f>1-G5</f>
        <v>0.11899999999999999</v>
      </c>
    </row>
    <row r="6" spans="1:8" x14ac:dyDescent="0.3">
      <c r="A6" s="7" t="s">
        <v>126</v>
      </c>
      <c r="B6" s="8">
        <v>2.5000000000000001E-2</v>
      </c>
      <c r="C6" s="8">
        <v>0.02</v>
      </c>
      <c r="D6" s="8">
        <v>0.08</v>
      </c>
      <c r="E6" s="8">
        <v>0.12</v>
      </c>
      <c r="F6" s="8">
        <v>0.04</v>
      </c>
      <c r="G6" s="9">
        <f>1-SUM(B6:F6)</f>
        <v>0.71500000000000008</v>
      </c>
      <c r="H6" s="10">
        <f>1-G6</f>
        <v>0.28499999999999992</v>
      </c>
    </row>
    <row r="9" spans="1:8" x14ac:dyDescent="0.3">
      <c r="A9" s="11" t="s">
        <v>39</v>
      </c>
    </row>
    <row r="10" spans="1:8" x14ac:dyDescent="0.3">
      <c r="A10" s="31" t="s">
        <v>40</v>
      </c>
      <c r="B10" s="31"/>
      <c r="C10" s="31"/>
      <c r="D10" s="31"/>
      <c r="E10" s="31"/>
      <c r="F10" s="31"/>
      <c r="G10" s="31"/>
      <c r="H10" s="31"/>
    </row>
    <row r="11" spans="1:8" x14ac:dyDescent="0.3">
      <c r="A11" s="31" t="s">
        <v>41</v>
      </c>
      <c r="B11" s="31"/>
      <c r="C11" s="31"/>
      <c r="D11" s="31"/>
      <c r="E11" s="31"/>
      <c r="F11" s="31"/>
      <c r="G11" s="31"/>
      <c r="H11" s="31"/>
    </row>
    <row r="12" spans="1:8" x14ac:dyDescent="0.3">
      <c r="A12" s="31" t="s">
        <v>42</v>
      </c>
      <c r="B12" s="31"/>
      <c r="C12" s="31"/>
      <c r="D12" s="31"/>
      <c r="E12" s="31"/>
      <c r="F12" s="31"/>
      <c r="G12" s="31"/>
      <c r="H12" s="31"/>
    </row>
  </sheetData>
  <mergeCells count="4">
    <mergeCell ref="A1:H1"/>
    <mergeCell ref="A10:H10"/>
    <mergeCell ref="A11:H11"/>
    <mergeCell ref="A12:H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zoomScaleNormal="100" workbookViewId="0">
      <selection activeCell="A9" sqref="A9"/>
    </sheetView>
  </sheetViews>
  <sheetFormatPr defaultColWidth="8.6640625" defaultRowHeight="14.4" x14ac:dyDescent="0.3"/>
  <cols>
    <col min="1" max="1" width="24" customWidth="1"/>
    <col min="2" max="2" width="19.88671875" bestFit="1" customWidth="1"/>
    <col min="3" max="3" width="27.77734375" bestFit="1" customWidth="1"/>
    <col min="4" max="7" width="18" customWidth="1"/>
  </cols>
  <sheetData>
    <row r="1" spans="1:7" ht="16.8" x14ac:dyDescent="0.3">
      <c r="A1" s="30" t="s">
        <v>43</v>
      </c>
      <c r="B1" s="30"/>
      <c r="C1" s="30"/>
      <c r="D1" s="30"/>
      <c r="E1" s="30"/>
      <c r="F1" s="30"/>
      <c r="G1" s="30"/>
    </row>
    <row r="3" spans="1:7" x14ac:dyDescent="0.3">
      <c r="A3" t="s">
        <v>44</v>
      </c>
      <c r="B3" s="12">
        <v>133.52000000000001</v>
      </c>
      <c r="C3" s="3" t="s">
        <v>45</v>
      </c>
    </row>
    <row r="5" spans="1:7" x14ac:dyDescent="0.3">
      <c r="A5" s="6" t="s">
        <v>31</v>
      </c>
      <c r="B5" s="6" t="s">
        <v>46</v>
      </c>
      <c r="C5" s="6" t="s">
        <v>47</v>
      </c>
      <c r="D5" s="6" t="s">
        <v>48</v>
      </c>
      <c r="E5" s="6" t="s">
        <v>49</v>
      </c>
      <c r="F5" s="6" t="s">
        <v>50</v>
      </c>
      <c r="G5" s="6" t="s">
        <v>51</v>
      </c>
    </row>
    <row r="6" spans="1:7" x14ac:dyDescent="0.3">
      <c r="A6" s="7" t="s">
        <v>125</v>
      </c>
      <c r="B6" s="13">
        <v>6500</v>
      </c>
      <c r="C6" s="14">
        <f>$B$3</f>
        <v>133.52000000000001</v>
      </c>
      <c r="D6" s="15">
        <f>ROUNDUP(B6/C6,0)</f>
        <v>49</v>
      </c>
      <c r="E6" s="16">
        <v>50</v>
      </c>
      <c r="F6" s="17">
        <f>E6-D6</f>
        <v>1</v>
      </c>
      <c r="G6" s="18" t="str">
        <f>IF(F6&lt;0,"UNDER",IF(F6=0,"AT TARGET","OVER"))</f>
        <v>OVER</v>
      </c>
    </row>
    <row r="7" spans="1:7" x14ac:dyDescent="0.3">
      <c r="A7" s="7" t="s">
        <v>127</v>
      </c>
      <c r="B7" s="13">
        <v>10000</v>
      </c>
      <c r="C7" s="14">
        <f>$B$3</f>
        <v>133.52000000000001</v>
      </c>
      <c r="D7" s="15">
        <f>ROUNDUP(B7/C7,0)</f>
        <v>75</v>
      </c>
      <c r="E7" s="16">
        <v>80</v>
      </c>
      <c r="F7" s="17">
        <f>E7-D7</f>
        <v>5</v>
      </c>
      <c r="G7" s="18" t="str">
        <f>IF(F7&lt;0,"UNDER",IF(F7=0,"AT TARGET","OVER"))</f>
        <v>OVER</v>
      </c>
    </row>
    <row r="8" spans="1:7" x14ac:dyDescent="0.3">
      <c r="A8" s="7" t="s">
        <v>126</v>
      </c>
      <c r="B8" s="13">
        <v>4000</v>
      </c>
      <c r="C8" s="14">
        <f>$B$3</f>
        <v>133.52000000000001</v>
      </c>
      <c r="D8" s="15">
        <f>ROUNDUP(B8/C8,0)</f>
        <v>30</v>
      </c>
      <c r="E8" s="16">
        <v>35</v>
      </c>
      <c r="F8" s="17">
        <f>E8-D8</f>
        <v>5</v>
      </c>
      <c r="G8" s="18" t="str">
        <f>IF(F8&lt;0,"UNDER",IF(F8=0,"AT TARGET","OVER"))</f>
        <v>OVER</v>
      </c>
    </row>
    <row r="10" spans="1:7" x14ac:dyDescent="0.3">
      <c r="A10" s="11" t="s">
        <v>39</v>
      </c>
    </row>
    <row r="11" spans="1:7" x14ac:dyDescent="0.3">
      <c r="A11" s="31" t="s">
        <v>52</v>
      </c>
      <c r="B11" s="31"/>
      <c r="C11" s="31"/>
      <c r="D11" s="31"/>
      <c r="E11" s="31"/>
      <c r="F11" s="31"/>
      <c r="G11" s="31"/>
    </row>
    <row r="12" spans="1:7" x14ac:dyDescent="0.3">
      <c r="A12" s="31" t="s">
        <v>53</v>
      </c>
      <c r="B12" s="31"/>
      <c r="C12" s="31"/>
      <c r="D12" s="31"/>
      <c r="E12" s="31"/>
      <c r="F12" s="31"/>
      <c r="G12" s="31"/>
    </row>
    <row r="13" spans="1:7" x14ac:dyDescent="0.3">
      <c r="A13" s="31" t="s">
        <v>54</v>
      </c>
      <c r="B13" s="31"/>
      <c r="C13" s="31"/>
      <c r="D13" s="31"/>
      <c r="E13" s="31"/>
      <c r="F13" s="31"/>
      <c r="G13" s="31"/>
    </row>
  </sheetData>
  <mergeCells count="4">
    <mergeCell ref="A1:G1"/>
    <mergeCell ref="A11:G11"/>
    <mergeCell ref="A12:G12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zoomScaleNormal="100" workbookViewId="0">
      <selection activeCell="A13" sqref="A13"/>
    </sheetView>
  </sheetViews>
  <sheetFormatPr defaultColWidth="8.6640625" defaultRowHeight="14.4" x14ac:dyDescent="0.3"/>
  <cols>
    <col min="1" max="1" width="28" customWidth="1"/>
    <col min="2" max="7" width="13" customWidth="1"/>
  </cols>
  <sheetData>
    <row r="1" spans="1:7" ht="16.8" x14ac:dyDescent="0.3">
      <c r="A1" s="30" t="s">
        <v>55</v>
      </c>
      <c r="B1" s="30"/>
      <c r="C1" s="30"/>
      <c r="D1" s="30"/>
      <c r="E1" s="30"/>
      <c r="F1" s="30"/>
      <c r="G1" s="30"/>
    </row>
    <row r="3" spans="1:7" x14ac:dyDescent="0.3">
      <c r="A3" s="6" t="s">
        <v>56</v>
      </c>
      <c r="B3" s="6" t="s">
        <v>57</v>
      </c>
      <c r="C3" s="6" t="s">
        <v>58</v>
      </c>
      <c r="D3" s="6" t="s">
        <v>59</v>
      </c>
      <c r="E3" s="6" t="s">
        <v>60</v>
      </c>
      <c r="F3" s="6" t="s">
        <v>61</v>
      </c>
      <c r="G3" s="6" t="s">
        <v>62</v>
      </c>
    </row>
    <row r="4" spans="1:7" x14ac:dyDescent="0.3">
      <c r="A4" s="19" t="s">
        <v>125</v>
      </c>
      <c r="B4" s="20"/>
      <c r="C4" s="20"/>
      <c r="D4" s="20"/>
      <c r="E4" s="20"/>
      <c r="F4" s="20"/>
      <c r="G4" s="20"/>
    </row>
    <row r="5" spans="1:7" x14ac:dyDescent="0.3">
      <c r="A5" s="21" t="s">
        <v>63</v>
      </c>
      <c r="B5" s="16">
        <v>270</v>
      </c>
      <c r="C5" s="16">
        <v>272</v>
      </c>
      <c r="D5" s="16">
        <v>295</v>
      </c>
      <c r="E5" s="16">
        <v>298</v>
      </c>
      <c r="F5" s="16">
        <v>302</v>
      </c>
      <c r="G5" s="15">
        <f>SUM(B5:F5)</f>
        <v>1437</v>
      </c>
    </row>
    <row r="6" spans="1:7" x14ac:dyDescent="0.3">
      <c r="A6" s="21" t="s">
        <v>64</v>
      </c>
      <c r="B6" s="16">
        <v>25</v>
      </c>
      <c r="C6" s="16">
        <v>26</v>
      </c>
      <c r="D6" s="16">
        <v>49</v>
      </c>
      <c r="E6" s="16">
        <v>37</v>
      </c>
      <c r="F6" s="16">
        <v>46</v>
      </c>
      <c r="G6" s="15">
        <f>SUM(B6:F6)</f>
        <v>183</v>
      </c>
    </row>
    <row r="7" spans="1:7" x14ac:dyDescent="0.3">
      <c r="A7" s="21" t="s">
        <v>65</v>
      </c>
      <c r="B7" s="16">
        <v>13</v>
      </c>
      <c r="C7" s="16">
        <v>14</v>
      </c>
      <c r="D7" s="16">
        <v>9</v>
      </c>
      <c r="E7" s="16">
        <v>11</v>
      </c>
      <c r="F7" s="16">
        <v>7</v>
      </c>
      <c r="G7" s="15">
        <f>SUM(B7:F7)</f>
        <v>54</v>
      </c>
    </row>
    <row r="8" spans="1:7" x14ac:dyDescent="0.3">
      <c r="A8" s="19" t="s">
        <v>127</v>
      </c>
      <c r="B8" s="20"/>
      <c r="C8" s="20"/>
      <c r="D8" s="20"/>
      <c r="E8" s="20"/>
      <c r="F8" s="20"/>
      <c r="G8" s="20"/>
    </row>
    <row r="9" spans="1:7" x14ac:dyDescent="0.3">
      <c r="A9" s="21" t="s">
        <v>63</v>
      </c>
      <c r="B9" s="16">
        <v>452</v>
      </c>
      <c r="C9" s="16">
        <v>451</v>
      </c>
      <c r="D9" s="16">
        <v>438</v>
      </c>
      <c r="E9" s="16">
        <v>443</v>
      </c>
      <c r="F9" s="16">
        <v>367</v>
      </c>
      <c r="G9" s="15">
        <f>SUM(B9:F9)</f>
        <v>2151</v>
      </c>
    </row>
    <row r="10" spans="1:7" x14ac:dyDescent="0.3">
      <c r="A10" s="21" t="s">
        <v>64</v>
      </c>
      <c r="B10" s="16">
        <v>40</v>
      </c>
      <c r="C10" s="16">
        <v>24</v>
      </c>
      <c r="D10" s="16">
        <v>36</v>
      </c>
      <c r="E10" s="16">
        <v>38</v>
      </c>
      <c r="F10" s="16">
        <v>99</v>
      </c>
      <c r="G10" s="15">
        <f>SUM(B10:F10)</f>
        <v>237</v>
      </c>
    </row>
    <row r="11" spans="1:7" x14ac:dyDescent="0.3">
      <c r="A11" s="21" t="s">
        <v>65</v>
      </c>
      <c r="B11" s="16">
        <v>23</v>
      </c>
      <c r="C11" s="16">
        <v>26</v>
      </c>
      <c r="D11" s="16">
        <v>31</v>
      </c>
      <c r="E11" s="16">
        <v>20</v>
      </c>
      <c r="F11" s="16">
        <v>14</v>
      </c>
      <c r="G11" s="15">
        <f>SUM(B11:F11)</f>
        <v>114</v>
      </c>
    </row>
    <row r="12" spans="1:7" x14ac:dyDescent="0.3">
      <c r="A12" s="19" t="s">
        <v>126</v>
      </c>
      <c r="B12" s="20"/>
      <c r="C12" s="20"/>
      <c r="D12" s="20"/>
      <c r="E12" s="20"/>
      <c r="F12" s="20"/>
      <c r="G12" s="20"/>
    </row>
    <row r="13" spans="1:7" x14ac:dyDescent="0.3">
      <c r="A13" s="21" t="s">
        <v>63</v>
      </c>
      <c r="B13" s="16">
        <v>123</v>
      </c>
      <c r="C13" s="16">
        <v>118</v>
      </c>
      <c r="D13" s="16">
        <v>110</v>
      </c>
      <c r="E13" s="16">
        <v>105</v>
      </c>
      <c r="F13" s="16">
        <v>107</v>
      </c>
      <c r="G13" s="15">
        <f>SUM(B13:F13)</f>
        <v>563</v>
      </c>
    </row>
    <row r="14" spans="1:7" x14ac:dyDescent="0.3">
      <c r="A14" s="21" t="s">
        <v>64</v>
      </c>
      <c r="B14" s="16">
        <v>10</v>
      </c>
      <c r="C14" s="16">
        <v>12</v>
      </c>
      <c r="D14" s="16">
        <v>21</v>
      </c>
      <c r="E14" s="16">
        <v>24</v>
      </c>
      <c r="F14" s="16">
        <v>29</v>
      </c>
      <c r="G14" s="15">
        <f>SUM(B14:F14)</f>
        <v>96</v>
      </c>
    </row>
    <row r="15" spans="1:7" x14ac:dyDescent="0.3">
      <c r="A15" s="21" t="s">
        <v>65</v>
      </c>
      <c r="B15" s="16">
        <v>14</v>
      </c>
      <c r="C15" s="16">
        <v>7</v>
      </c>
      <c r="D15" s="16">
        <v>14</v>
      </c>
      <c r="E15" s="16">
        <v>17</v>
      </c>
      <c r="F15" s="16">
        <v>9</v>
      </c>
      <c r="G15" s="15">
        <f>SUM(B15:F15)</f>
        <v>61</v>
      </c>
    </row>
    <row r="18" spans="1:7" x14ac:dyDescent="0.3">
      <c r="A18" s="11" t="s">
        <v>39</v>
      </c>
    </row>
    <row r="19" spans="1:7" x14ac:dyDescent="0.3">
      <c r="A19" s="31" t="s">
        <v>66</v>
      </c>
      <c r="B19" s="31"/>
      <c r="C19" s="31"/>
      <c r="D19" s="31"/>
      <c r="E19" s="31"/>
      <c r="F19" s="31"/>
      <c r="G19" s="31"/>
    </row>
    <row r="20" spans="1:7" x14ac:dyDescent="0.3">
      <c r="A20" s="31" t="s">
        <v>67</v>
      </c>
      <c r="B20" s="31"/>
      <c r="C20" s="31"/>
      <c r="D20" s="31"/>
      <c r="E20" s="31"/>
      <c r="F20" s="31"/>
      <c r="G20" s="31"/>
    </row>
    <row r="21" spans="1:7" x14ac:dyDescent="0.3">
      <c r="A21" s="31" t="s">
        <v>68</v>
      </c>
      <c r="B21" s="31"/>
      <c r="C21" s="31"/>
      <c r="D21" s="31"/>
      <c r="E21" s="31"/>
      <c r="F21" s="31"/>
      <c r="G21" s="31"/>
    </row>
  </sheetData>
  <mergeCells count="4">
    <mergeCell ref="A1:G1"/>
    <mergeCell ref="A19:G19"/>
    <mergeCell ref="A20:G20"/>
    <mergeCell ref="A21:G2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zoomScaleNormal="100" workbookViewId="0">
      <selection activeCell="A6" sqref="A6"/>
    </sheetView>
  </sheetViews>
  <sheetFormatPr defaultColWidth="8.6640625" defaultRowHeight="14.4" x14ac:dyDescent="0.3"/>
  <cols>
    <col min="1" max="1" width="24" customWidth="1"/>
    <col min="2" max="4" width="16" customWidth="1"/>
    <col min="5" max="5" width="18.109375" bestFit="1" customWidth="1"/>
    <col min="6" max="6" width="21.6640625" bestFit="1" customWidth="1"/>
    <col min="7" max="7" width="30.77734375" bestFit="1" customWidth="1"/>
  </cols>
  <sheetData>
    <row r="1" spans="1:7" ht="16.8" x14ac:dyDescent="0.3">
      <c r="A1" s="30" t="s">
        <v>69</v>
      </c>
      <c r="B1" s="30"/>
      <c r="C1" s="30"/>
      <c r="D1" s="30"/>
      <c r="E1" s="30"/>
      <c r="F1" s="30"/>
      <c r="G1" s="30"/>
    </row>
    <row r="3" spans="1:7" x14ac:dyDescent="0.3">
      <c r="A3" s="6" t="s">
        <v>31</v>
      </c>
      <c r="B3" s="6" t="s">
        <v>70</v>
      </c>
      <c r="C3" s="6" t="s">
        <v>71</v>
      </c>
      <c r="D3" s="6" t="s">
        <v>72</v>
      </c>
      <c r="E3" s="6" t="s">
        <v>73</v>
      </c>
      <c r="F3" s="6" t="s">
        <v>74</v>
      </c>
      <c r="G3" s="6" t="s">
        <v>75</v>
      </c>
    </row>
    <row r="4" spans="1:7" x14ac:dyDescent="0.3">
      <c r="A4" s="7" t="s">
        <v>125</v>
      </c>
      <c r="B4" s="22">
        <f>'3_Weekly_Raw'!G5</f>
        <v>1437</v>
      </c>
      <c r="C4" s="22">
        <f>'3_Weekly_Raw'!G6</f>
        <v>183</v>
      </c>
      <c r="D4" s="22">
        <f>'3_Weekly_Raw'!G7</f>
        <v>54</v>
      </c>
      <c r="E4" s="9">
        <f>C4/B4</f>
        <v>0.12734864300626306</v>
      </c>
      <c r="F4" s="9">
        <f>D4/B4</f>
        <v>3.7578288100208766E-2</v>
      </c>
      <c r="G4" s="10">
        <f>E4+F4</f>
        <v>0.16492693110647183</v>
      </c>
    </row>
    <row r="5" spans="1:7" x14ac:dyDescent="0.3">
      <c r="A5" s="7" t="s">
        <v>127</v>
      </c>
      <c r="B5" s="22">
        <f>'3_Weekly_Raw'!G9</f>
        <v>2151</v>
      </c>
      <c r="C5" s="22">
        <f>'3_Weekly_Raw'!G10</f>
        <v>237</v>
      </c>
      <c r="D5" s="22">
        <f>'3_Weekly_Raw'!G11</f>
        <v>114</v>
      </c>
      <c r="E5" s="9">
        <f>C5/B5</f>
        <v>0.1101813110181311</v>
      </c>
      <c r="F5" s="9">
        <f>D5/B5</f>
        <v>5.2998605299860529E-2</v>
      </c>
      <c r="G5" s="10">
        <f>E5+F5</f>
        <v>0.16317991631799161</v>
      </c>
    </row>
    <row r="6" spans="1:7" x14ac:dyDescent="0.3">
      <c r="A6" s="7" t="s">
        <v>126</v>
      </c>
      <c r="B6" s="22">
        <f>'3_Weekly_Raw'!G13</f>
        <v>563</v>
      </c>
      <c r="C6" s="22">
        <f>'3_Weekly_Raw'!G14</f>
        <v>96</v>
      </c>
      <c r="D6" s="22">
        <f>'3_Weekly_Raw'!G15</f>
        <v>61</v>
      </c>
      <c r="E6" s="9">
        <f>C6/B6</f>
        <v>0.17051509769094139</v>
      </c>
      <c r="F6" s="9">
        <f>D6/B6</f>
        <v>0.10834813499111901</v>
      </c>
      <c r="G6" s="10">
        <f>E6+F6</f>
        <v>0.27886323268206037</v>
      </c>
    </row>
    <row r="9" spans="1:7" x14ac:dyDescent="0.3">
      <c r="A9" s="11" t="s">
        <v>39</v>
      </c>
    </row>
    <row r="10" spans="1:7" x14ac:dyDescent="0.3">
      <c r="A10" s="31" t="s">
        <v>76</v>
      </c>
      <c r="B10" s="31"/>
      <c r="C10" s="31"/>
      <c r="D10" s="31"/>
      <c r="E10" s="31"/>
      <c r="F10" s="31"/>
      <c r="G10" s="31"/>
    </row>
    <row r="11" spans="1:7" x14ac:dyDescent="0.3">
      <c r="A11" s="31" t="s">
        <v>77</v>
      </c>
      <c r="B11" s="31"/>
      <c r="C11" s="31"/>
      <c r="D11" s="31"/>
      <c r="E11" s="31"/>
      <c r="F11" s="31"/>
      <c r="G11" s="31"/>
    </row>
    <row r="12" spans="1:7" x14ac:dyDescent="0.3">
      <c r="A12" s="31" t="s">
        <v>78</v>
      </c>
      <c r="B12" s="31"/>
      <c r="C12" s="31"/>
      <c r="D12" s="31"/>
      <c r="E12" s="31"/>
      <c r="F12" s="31"/>
      <c r="G12" s="31"/>
    </row>
  </sheetData>
  <mergeCells count="4">
    <mergeCell ref="A1:G1"/>
    <mergeCell ref="A10:G10"/>
    <mergeCell ref="A11:G11"/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7"/>
  <sheetViews>
    <sheetView topLeftCell="A19" zoomScaleNormal="100" workbookViewId="0">
      <selection activeCell="A37" sqref="A37:J37"/>
    </sheetView>
  </sheetViews>
  <sheetFormatPr defaultColWidth="8.6640625" defaultRowHeight="14.4" x14ac:dyDescent="0.3"/>
  <cols>
    <col min="1" max="1" width="28" customWidth="1"/>
    <col min="2" max="10" width="11" customWidth="1"/>
  </cols>
  <sheetData>
    <row r="1" spans="1:10" ht="16.8" x14ac:dyDescent="0.3">
      <c r="A1" s="30" t="s">
        <v>130</v>
      </c>
      <c r="B1" s="30"/>
      <c r="C1" s="30"/>
      <c r="D1" s="30"/>
      <c r="E1" s="30"/>
      <c r="F1" s="30"/>
      <c r="G1" s="30"/>
      <c r="H1" s="30"/>
      <c r="I1" s="30"/>
      <c r="J1" s="30"/>
    </row>
    <row r="3" spans="1:10" x14ac:dyDescent="0.3">
      <c r="A3" s="1" t="s">
        <v>125</v>
      </c>
      <c r="B3" s="23"/>
      <c r="C3" s="23"/>
      <c r="D3" s="23"/>
      <c r="E3" s="23"/>
      <c r="F3" s="23"/>
      <c r="G3" s="23"/>
      <c r="H3" s="23"/>
      <c r="I3" s="23"/>
      <c r="J3" s="23"/>
    </row>
    <row r="4" spans="1:10" x14ac:dyDescent="0.3">
      <c r="A4" s="24" t="s">
        <v>79</v>
      </c>
      <c r="B4" s="24" t="s">
        <v>80</v>
      </c>
      <c r="C4" s="24" t="s">
        <v>81</v>
      </c>
      <c r="D4" s="24" t="s">
        <v>82</v>
      </c>
      <c r="E4" s="24" t="s">
        <v>83</v>
      </c>
      <c r="F4" s="24" t="s">
        <v>84</v>
      </c>
      <c r="G4" s="24" t="s">
        <v>85</v>
      </c>
      <c r="H4" s="24" t="s">
        <v>86</v>
      </c>
      <c r="I4" s="24" t="s">
        <v>87</v>
      </c>
    </row>
    <row r="5" spans="1:10" x14ac:dyDescent="0.3">
      <c r="A5" s="7" t="s">
        <v>88</v>
      </c>
      <c r="B5" s="16">
        <v>50</v>
      </c>
      <c r="C5" s="16">
        <v>50</v>
      </c>
      <c r="D5" s="16">
        <v>51</v>
      </c>
      <c r="E5" s="16">
        <v>50</v>
      </c>
      <c r="F5" s="16">
        <v>51</v>
      </c>
      <c r="G5" s="16">
        <v>51</v>
      </c>
      <c r="H5" s="16">
        <v>52</v>
      </c>
      <c r="I5" s="16">
        <v>51</v>
      </c>
    </row>
    <row r="6" spans="1:10" x14ac:dyDescent="0.3">
      <c r="A6" s="7" t="s">
        <v>89</v>
      </c>
      <c r="B6" s="16">
        <v>50</v>
      </c>
      <c r="C6" s="16">
        <v>51</v>
      </c>
      <c r="D6" s="16">
        <v>50</v>
      </c>
      <c r="E6" s="16">
        <v>51</v>
      </c>
      <c r="F6" s="16">
        <v>51</v>
      </c>
      <c r="G6" s="16">
        <v>52</v>
      </c>
      <c r="H6" s="16">
        <v>51</v>
      </c>
      <c r="I6" s="16">
        <v>52</v>
      </c>
    </row>
    <row r="7" spans="1:10" x14ac:dyDescent="0.3">
      <c r="A7" s="7" t="s">
        <v>90</v>
      </c>
      <c r="B7" s="16">
        <v>0</v>
      </c>
      <c r="C7" s="16">
        <v>0</v>
      </c>
      <c r="D7" s="16">
        <v>1</v>
      </c>
      <c r="E7" s="16">
        <v>0</v>
      </c>
      <c r="F7" s="16">
        <v>0</v>
      </c>
      <c r="G7" s="16">
        <v>0</v>
      </c>
      <c r="H7" s="16">
        <v>1</v>
      </c>
      <c r="I7" s="16">
        <v>0</v>
      </c>
    </row>
    <row r="8" spans="1:10" x14ac:dyDescent="0.3">
      <c r="A8" s="7" t="s">
        <v>128</v>
      </c>
      <c r="B8" s="9">
        <f t="shared" ref="B8:I8" si="0">IFERROR(B7/((B5+B6)/2),0)</f>
        <v>0</v>
      </c>
      <c r="C8" s="9">
        <f t="shared" si="0"/>
        <v>0</v>
      </c>
      <c r="D8" s="9">
        <f t="shared" si="0"/>
        <v>1.9801980198019802E-2</v>
      </c>
      <c r="E8" s="9">
        <f t="shared" si="0"/>
        <v>0</v>
      </c>
      <c r="F8" s="9">
        <f t="shared" si="0"/>
        <v>0</v>
      </c>
      <c r="G8" s="9">
        <f t="shared" si="0"/>
        <v>0</v>
      </c>
      <c r="H8" s="9">
        <f t="shared" si="0"/>
        <v>1.9417475728155338E-2</v>
      </c>
      <c r="I8" s="9">
        <f t="shared" si="0"/>
        <v>0</v>
      </c>
    </row>
    <row r="9" spans="1:10" x14ac:dyDescent="0.3">
      <c r="A9" s="7" t="s">
        <v>91</v>
      </c>
      <c r="B9" s="9">
        <f>IFERROR(SUM(B7:B7)/((B5+B6)/2),0)</f>
        <v>0</v>
      </c>
      <c r="C9" s="9">
        <f>IFERROR(SUM(B7:C7)/((B5+C6)/2),0)</f>
        <v>0</v>
      </c>
      <c r="D9" s="9">
        <f>IFERROR(SUM(B7:D7)/((B5+D6)/2),0)</f>
        <v>0.02</v>
      </c>
      <c r="E9" s="9">
        <f>IFERROR(SUM(B7:E7)/((B5+E6)/2),0)</f>
        <v>1.9801980198019802E-2</v>
      </c>
      <c r="F9" s="9">
        <f>IFERROR(SUM(B7:F7)/((B5+F6)/2),0)</f>
        <v>1.9801980198019802E-2</v>
      </c>
      <c r="G9" s="9">
        <f>IFERROR(SUM(B7:G7)/((B5+G6)/2),0)</f>
        <v>1.9607843137254902E-2</v>
      </c>
      <c r="H9" s="9">
        <f>IFERROR(SUM(B7:H7)/((B5+H6)/2),0)</f>
        <v>3.9603960396039604E-2</v>
      </c>
      <c r="I9" s="9">
        <f>IFERROR(SUM(B7:I7)/((B5+I6)/2),0)</f>
        <v>3.9215686274509803E-2</v>
      </c>
    </row>
    <row r="10" spans="1:10" x14ac:dyDescent="0.3">
      <c r="A10" s="7" t="s">
        <v>92</v>
      </c>
      <c r="B10" s="9">
        <f t="shared" ref="B10:I10" si="1">B8*12</f>
        <v>0</v>
      </c>
      <c r="C10" s="9">
        <f t="shared" si="1"/>
        <v>0</v>
      </c>
      <c r="D10" s="9">
        <f t="shared" si="1"/>
        <v>0.23762376237623761</v>
      </c>
      <c r="E10" s="9">
        <f t="shared" si="1"/>
        <v>0</v>
      </c>
      <c r="F10" s="9">
        <f t="shared" si="1"/>
        <v>0</v>
      </c>
      <c r="G10" s="9">
        <f t="shared" si="1"/>
        <v>0</v>
      </c>
      <c r="H10" s="9">
        <f t="shared" si="1"/>
        <v>0.23300970873786406</v>
      </c>
      <c r="I10" s="9">
        <f t="shared" si="1"/>
        <v>0</v>
      </c>
    </row>
    <row r="11" spans="1:10" x14ac:dyDescent="0.3">
      <c r="A11" s="25" t="s">
        <v>93</v>
      </c>
      <c r="B11" s="10">
        <f>AVERAGE($B$8:B8)*12</f>
        <v>0</v>
      </c>
      <c r="C11" s="10">
        <f>AVERAGE($B$8:C8)*12</f>
        <v>0</v>
      </c>
      <c r="D11" s="10">
        <f>AVERAGE($B$8:D8)*12</f>
        <v>7.9207920792079209E-2</v>
      </c>
      <c r="E11" s="10">
        <f>AVERAGE($B$8:E8)*12</f>
        <v>5.9405940594059403E-2</v>
      </c>
      <c r="F11" s="10">
        <f>AVERAGE($B$8:F8)*12</f>
        <v>4.7524752475247525E-2</v>
      </c>
      <c r="G11" s="10">
        <f>AVERAGE($B$8:G8)*12</f>
        <v>3.9603960396039604E-2</v>
      </c>
      <c r="H11" s="10">
        <f>AVERAGE($B$8:H8)*12</f>
        <v>6.7233353016300235E-2</v>
      </c>
      <c r="I11" s="10">
        <f>AVERAGE($B$8:I8)*12</f>
        <v>5.8829183889262705E-2</v>
      </c>
    </row>
    <row r="13" spans="1:10" x14ac:dyDescent="0.3">
      <c r="A13" s="1" t="s">
        <v>127</v>
      </c>
      <c r="B13" s="23"/>
      <c r="C13" s="23"/>
      <c r="D13" s="23"/>
      <c r="E13" s="23"/>
      <c r="F13" s="23"/>
      <c r="G13" s="23"/>
      <c r="H13" s="23"/>
      <c r="I13" s="23"/>
      <c r="J13" s="23"/>
    </row>
    <row r="14" spans="1:10" x14ac:dyDescent="0.3">
      <c r="A14" s="24" t="s">
        <v>79</v>
      </c>
      <c r="B14" s="24" t="s">
        <v>80</v>
      </c>
      <c r="C14" s="24" t="s">
        <v>81</v>
      </c>
      <c r="D14" s="24" t="s">
        <v>82</v>
      </c>
      <c r="E14" s="24" t="s">
        <v>83</v>
      </c>
      <c r="F14" s="24" t="s">
        <v>84</v>
      </c>
      <c r="G14" s="24" t="s">
        <v>85</v>
      </c>
      <c r="H14" s="24" t="s">
        <v>86</v>
      </c>
      <c r="I14" s="24" t="s">
        <v>87</v>
      </c>
    </row>
    <row r="15" spans="1:10" x14ac:dyDescent="0.3">
      <c r="A15" s="7" t="s">
        <v>88</v>
      </c>
      <c r="B15" s="16">
        <v>78</v>
      </c>
      <c r="C15" s="16">
        <v>80</v>
      </c>
      <c r="D15" s="16">
        <v>81</v>
      </c>
      <c r="E15" s="16">
        <v>82</v>
      </c>
      <c r="F15" s="16">
        <v>80</v>
      </c>
      <c r="G15" s="16">
        <v>81</v>
      </c>
      <c r="H15" s="16">
        <v>80</v>
      </c>
      <c r="I15" s="16">
        <v>81</v>
      </c>
    </row>
    <row r="16" spans="1:10" x14ac:dyDescent="0.3">
      <c r="A16" s="7" t="s">
        <v>89</v>
      </c>
      <c r="B16" s="16">
        <v>80</v>
      </c>
      <c r="C16" s="16">
        <v>81</v>
      </c>
      <c r="D16" s="16">
        <v>82</v>
      </c>
      <c r="E16" s="16">
        <v>80</v>
      </c>
      <c r="F16" s="16">
        <v>81</v>
      </c>
      <c r="G16" s="16">
        <v>80</v>
      </c>
      <c r="H16" s="16">
        <v>81</v>
      </c>
      <c r="I16" s="16">
        <v>80</v>
      </c>
    </row>
    <row r="17" spans="1:10" x14ac:dyDescent="0.3">
      <c r="A17" s="7" t="s">
        <v>90</v>
      </c>
      <c r="B17" s="16">
        <v>1</v>
      </c>
      <c r="C17" s="16">
        <v>1</v>
      </c>
      <c r="D17" s="16">
        <v>2</v>
      </c>
      <c r="E17" s="16">
        <v>2</v>
      </c>
      <c r="F17" s="16">
        <v>1</v>
      </c>
      <c r="G17" s="16">
        <v>2</v>
      </c>
      <c r="H17" s="16">
        <v>1</v>
      </c>
      <c r="I17" s="16">
        <v>2</v>
      </c>
    </row>
    <row r="18" spans="1:10" x14ac:dyDescent="0.3">
      <c r="A18" s="7" t="s">
        <v>128</v>
      </c>
      <c r="B18" s="9">
        <f t="shared" ref="B18:I18" si="2">IFERROR(B17/((B15+B16)/2),0)</f>
        <v>1.2658227848101266E-2</v>
      </c>
      <c r="C18" s="9">
        <f t="shared" si="2"/>
        <v>1.2422360248447204E-2</v>
      </c>
      <c r="D18" s="9">
        <f t="shared" si="2"/>
        <v>2.4539877300613498E-2</v>
      </c>
      <c r="E18" s="9">
        <f t="shared" si="2"/>
        <v>2.4691358024691357E-2</v>
      </c>
      <c r="F18" s="9">
        <f t="shared" si="2"/>
        <v>1.2422360248447204E-2</v>
      </c>
      <c r="G18" s="9">
        <f t="shared" si="2"/>
        <v>2.4844720496894408E-2</v>
      </c>
      <c r="H18" s="9">
        <f t="shared" si="2"/>
        <v>1.2422360248447204E-2</v>
      </c>
      <c r="I18" s="9">
        <f t="shared" si="2"/>
        <v>2.4844720496894408E-2</v>
      </c>
    </row>
    <row r="19" spans="1:10" x14ac:dyDescent="0.3">
      <c r="A19" s="7" t="s">
        <v>91</v>
      </c>
      <c r="B19" s="9">
        <f>IFERROR(SUM(B17:B17)/((B15+B16)/2),0)</f>
        <v>1.2658227848101266E-2</v>
      </c>
      <c r="C19" s="9">
        <f>IFERROR(SUM(B17:C17)/((B15+C16)/2),0)</f>
        <v>2.5157232704402517E-2</v>
      </c>
      <c r="D19" s="9">
        <f>IFERROR(SUM(B17:D17)/((B15+D16)/2),0)</f>
        <v>0.05</v>
      </c>
      <c r="E19" s="9">
        <f>IFERROR(SUM(B17:E17)/((B15+E16)/2),0)</f>
        <v>7.5949367088607597E-2</v>
      </c>
      <c r="F19" s="9">
        <f>IFERROR(SUM(B17:F17)/((B15+F16)/2),0)</f>
        <v>8.8050314465408799E-2</v>
      </c>
      <c r="G19" s="9">
        <f>IFERROR(SUM(B17:G17)/((B15+G16)/2),0)</f>
        <v>0.11392405063291139</v>
      </c>
      <c r="H19" s="9">
        <f>IFERROR(SUM(B17:H17)/((B15+H16)/2),0)</f>
        <v>0.12578616352201258</v>
      </c>
      <c r="I19" s="9">
        <f>IFERROR(SUM(B17:I17)/((B15+I16)/2),0)</f>
        <v>0.15189873417721519</v>
      </c>
    </row>
    <row r="20" spans="1:10" x14ac:dyDescent="0.3">
      <c r="A20" s="7" t="s">
        <v>92</v>
      </c>
      <c r="B20" s="9">
        <f t="shared" ref="B20:I20" si="3">B18*12</f>
        <v>0.15189873417721519</v>
      </c>
      <c r="C20" s="9">
        <f t="shared" si="3"/>
        <v>0.14906832298136646</v>
      </c>
      <c r="D20" s="9">
        <f t="shared" si="3"/>
        <v>0.29447852760736198</v>
      </c>
      <c r="E20" s="9">
        <f t="shared" si="3"/>
        <v>0.29629629629629628</v>
      </c>
      <c r="F20" s="9">
        <f t="shared" si="3"/>
        <v>0.14906832298136646</v>
      </c>
      <c r="G20" s="9">
        <f t="shared" si="3"/>
        <v>0.29813664596273293</v>
      </c>
      <c r="H20" s="9">
        <f t="shared" si="3"/>
        <v>0.14906832298136646</v>
      </c>
      <c r="I20" s="9">
        <f t="shared" si="3"/>
        <v>0.29813664596273293</v>
      </c>
    </row>
    <row r="21" spans="1:10" x14ac:dyDescent="0.3">
      <c r="A21" s="25" t="s">
        <v>93</v>
      </c>
      <c r="B21" s="10">
        <f>AVERAGE($B$18:B18)*12</f>
        <v>0.15189873417721519</v>
      </c>
      <c r="C21" s="10">
        <f>AVERAGE($B$18:C18)*12</f>
        <v>0.15048352857929082</v>
      </c>
      <c r="D21" s="10">
        <f>AVERAGE($B$18:D18)*12</f>
        <v>0.19848186158864789</v>
      </c>
      <c r="E21" s="10">
        <f>AVERAGE($B$18:E18)*12</f>
        <v>0.22293547026555999</v>
      </c>
      <c r="F21" s="10">
        <f>AVERAGE($B$18:F18)*12</f>
        <v>0.20816204080872125</v>
      </c>
      <c r="G21" s="10">
        <f>AVERAGE($B$18:G18)*12</f>
        <v>0.22315780833438986</v>
      </c>
      <c r="H21" s="10">
        <f>AVERAGE($B$18:H18)*12</f>
        <v>0.21257359614110083</v>
      </c>
      <c r="I21" s="10">
        <f>AVERAGE($B$18:I18)*12</f>
        <v>0.2232689773688048</v>
      </c>
    </row>
    <row r="23" spans="1:10" x14ac:dyDescent="0.3">
      <c r="A23" s="1" t="s">
        <v>126</v>
      </c>
      <c r="B23" s="23"/>
      <c r="C23" s="23"/>
      <c r="D23" s="23"/>
      <c r="E23" s="23"/>
      <c r="F23" s="23"/>
      <c r="G23" s="23"/>
      <c r="H23" s="23"/>
      <c r="I23" s="23"/>
      <c r="J23" s="23"/>
    </row>
    <row r="24" spans="1:10" x14ac:dyDescent="0.3">
      <c r="A24" s="24" t="s">
        <v>79</v>
      </c>
      <c r="B24" s="24" t="s">
        <v>80</v>
      </c>
      <c r="C24" s="24" t="s">
        <v>81</v>
      </c>
      <c r="D24" s="24" t="s">
        <v>82</v>
      </c>
      <c r="E24" s="24" t="s">
        <v>83</v>
      </c>
      <c r="F24" s="24" t="s">
        <v>84</v>
      </c>
      <c r="G24" s="24" t="s">
        <v>85</v>
      </c>
      <c r="H24" s="24" t="s">
        <v>86</v>
      </c>
      <c r="I24" s="24" t="s">
        <v>87</v>
      </c>
    </row>
    <row r="25" spans="1:10" x14ac:dyDescent="0.3">
      <c r="A25" s="7" t="s">
        <v>88</v>
      </c>
      <c r="B25" s="16">
        <v>30</v>
      </c>
      <c r="C25" s="16">
        <v>32</v>
      </c>
      <c r="D25" s="16">
        <v>34</v>
      </c>
      <c r="E25" s="16">
        <v>33</v>
      </c>
      <c r="F25" s="16">
        <v>35</v>
      </c>
      <c r="G25" s="16">
        <v>34</v>
      </c>
      <c r="H25" s="16">
        <v>35</v>
      </c>
      <c r="I25" s="16">
        <v>34</v>
      </c>
    </row>
    <row r="26" spans="1:10" x14ac:dyDescent="0.3">
      <c r="A26" s="7" t="s">
        <v>89</v>
      </c>
      <c r="B26" s="16">
        <v>32</v>
      </c>
      <c r="C26" s="16">
        <v>34</v>
      </c>
      <c r="D26" s="16">
        <v>33</v>
      </c>
      <c r="E26" s="16">
        <v>35</v>
      </c>
      <c r="F26" s="16">
        <v>34</v>
      </c>
      <c r="G26" s="16">
        <v>35</v>
      </c>
      <c r="H26" s="16">
        <v>34</v>
      </c>
      <c r="I26" s="16">
        <v>35</v>
      </c>
    </row>
    <row r="27" spans="1:10" x14ac:dyDescent="0.3">
      <c r="A27" s="7" t="s">
        <v>90</v>
      </c>
      <c r="B27" s="16">
        <v>2</v>
      </c>
      <c r="C27" s="16">
        <v>3</v>
      </c>
      <c r="D27" s="16">
        <v>4</v>
      </c>
      <c r="E27" s="16">
        <v>2</v>
      </c>
      <c r="F27" s="16">
        <v>3</v>
      </c>
      <c r="G27" s="16">
        <v>2</v>
      </c>
      <c r="H27" s="16">
        <v>3</v>
      </c>
      <c r="I27" s="16">
        <v>2</v>
      </c>
    </row>
    <row r="28" spans="1:10" x14ac:dyDescent="0.3">
      <c r="A28" s="7" t="s">
        <v>128</v>
      </c>
      <c r="B28" s="9">
        <f t="shared" ref="B28:I28" si="4">IFERROR(B27/((B25+B26)/2),0)</f>
        <v>6.4516129032258063E-2</v>
      </c>
      <c r="C28" s="9">
        <f t="shared" si="4"/>
        <v>9.0909090909090912E-2</v>
      </c>
      <c r="D28" s="9">
        <f t="shared" si="4"/>
        <v>0.11940298507462686</v>
      </c>
      <c r="E28" s="9">
        <f t="shared" si="4"/>
        <v>5.8823529411764705E-2</v>
      </c>
      <c r="F28" s="9">
        <f t="shared" si="4"/>
        <v>8.6956521739130432E-2</v>
      </c>
      <c r="G28" s="9">
        <f t="shared" si="4"/>
        <v>5.7971014492753624E-2</v>
      </c>
      <c r="H28" s="9">
        <f t="shared" si="4"/>
        <v>8.6956521739130432E-2</v>
      </c>
      <c r="I28" s="9">
        <f t="shared" si="4"/>
        <v>5.7971014492753624E-2</v>
      </c>
    </row>
    <row r="29" spans="1:10" x14ac:dyDescent="0.3">
      <c r="A29" s="7" t="s">
        <v>91</v>
      </c>
      <c r="B29" s="9">
        <f>IFERROR(SUM(B27:B27)/((B25+B26)/2),0)</f>
        <v>6.4516129032258063E-2</v>
      </c>
      <c r="C29" s="9">
        <f>IFERROR(SUM(B27:C27)/((B25+C26)/2),0)</f>
        <v>0.15625</v>
      </c>
      <c r="D29" s="9">
        <f>IFERROR(SUM(B27:D27)/((B25+D26)/2),0)</f>
        <v>0.2857142857142857</v>
      </c>
      <c r="E29" s="9">
        <f>IFERROR(SUM(B27:E27)/((B25+E26)/2),0)</f>
        <v>0.33846153846153848</v>
      </c>
      <c r="F29" s="9">
        <f>IFERROR(SUM(B27:F27)/((B25+F26)/2),0)</f>
        <v>0.4375</v>
      </c>
      <c r="G29" s="9">
        <f>IFERROR(SUM(B27:G27)/((B25+G26)/2),0)</f>
        <v>0.49230769230769234</v>
      </c>
      <c r="H29" s="9">
        <f>IFERROR(SUM(B27:H27)/((B25+H26)/2),0)</f>
        <v>0.59375</v>
      </c>
      <c r="I29" s="9">
        <f>IFERROR(SUM(B27:I27)/((B25+I26)/2),0)</f>
        <v>0.64615384615384619</v>
      </c>
    </row>
    <row r="30" spans="1:10" x14ac:dyDescent="0.3">
      <c r="A30" s="7" t="s">
        <v>92</v>
      </c>
      <c r="B30" s="9">
        <f t="shared" ref="B30:I30" si="5">B28*12</f>
        <v>0.77419354838709675</v>
      </c>
      <c r="C30" s="9">
        <f t="shared" si="5"/>
        <v>1.0909090909090908</v>
      </c>
      <c r="D30" s="9">
        <f t="shared" si="5"/>
        <v>1.4328358208955223</v>
      </c>
      <c r="E30" s="9">
        <f t="shared" si="5"/>
        <v>0.70588235294117641</v>
      </c>
      <c r="F30" s="9">
        <f t="shared" si="5"/>
        <v>1.0434782608695652</v>
      </c>
      <c r="G30" s="9">
        <f t="shared" si="5"/>
        <v>0.69565217391304346</v>
      </c>
      <c r="H30" s="9">
        <f t="shared" si="5"/>
        <v>1.0434782608695652</v>
      </c>
      <c r="I30" s="9">
        <f t="shared" si="5"/>
        <v>0.69565217391304346</v>
      </c>
    </row>
    <row r="31" spans="1:10" x14ac:dyDescent="0.3">
      <c r="A31" s="25" t="s">
        <v>93</v>
      </c>
      <c r="B31" s="10">
        <f>AVERAGE($B$28:B28)*12</f>
        <v>0.77419354838709675</v>
      </c>
      <c r="C31" s="10">
        <f>AVERAGE($B$28:C28)*12</f>
        <v>0.9325513196480939</v>
      </c>
      <c r="D31" s="10">
        <f>AVERAGE($B$28:D28)*12</f>
        <v>1.0993128200639033</v>
      </c>
      <c r="E31" s="10">
        <f>AVERAGE($B$28:E28)*12</f>
        <v>1.0009552032832216</v>
      </c>
      <c r="F31" s="10">
        <f>AVERAGE($B$28:F28)*12</f>
        <v>1.0094598148004903</v>
      </c>
      <c r="G31" s="10">
        <f>AVERAGE($B$28:G28)*12</f>
        <v>0.95715854131924916</v>
      </c>
      <c r="H31" s="10">
        <f>AVERAGE($B$28:H28)*12</f>
        <v>0.96948992982643711</v>
      </c>
      <c r="I31" s="10">
        <f>AVERAGE($B$28:I28)*12</f>
        <v>0.93526021033726292</v>
      </c>
    </row>
    <row r="33" spans="1:10" x14ac:dyDescent="0.3">
      <c r="A33" s="11" t="s">
        <v>39</v>
      </c>
    </row>
    <row r="34" spans="1:10" x14ac:dyDescent="0.3">
      <c r="A34" s="31" t="s">
        <v>129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x14ac:dyDescent="0.3">
      <c r="A35" s="31" t="s">
        <v>94</v>
      </c>
      <c r="B35" s="31"/>
      <c r="C35" s="31"/>
      <c r="D35" s="31"/>
      <c r="E35" s="31"/>
      <c r="F35" s="31"/>
      <c r="G35" s="31"/>
      <c r="H35" s="31"/>
      <c r="I35" s="31"/>
      <c r="J35" s="31"/>
    </row>
    <row r="36" spans="1:10" x14ac:dyDescent="0.3">
      <c r="A36" s="31" t="s">
        <v>95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0" x14ac:dyDescent="0.3">
      <c r="A37" s="31" t="s">
        <v>96</v>
      </c>
      <c r="B37" s="31"/>
      <c r="C37" s="31"/>
      <c r="D37" s="31"/>
      <c r="E37" s="31"/>
      <c r="F37" s="31"/>
      <c r="G37" s="31"/>
      <c r="H37" s="31"/>
      <c r="I37" s="31"/>
      <c r="J37" s="31"/>
    </row>
  </sheetData>
  <mergeCells count="5">
    <mergeCell ref="A1:J1"/>
    <mergeCell ref="A34:J34"/>
    <mergeCell ref="A35:J35"/>
    <mergeCell ref="A36:J36"/>
    <mergeCell ref="A37:J3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2"/>
  <sheetViews>
    <sheetView topLeftCell="A10" zoomScaleNormal="100" workbookViewId="0">
      <selection activeCell="B33" sqref="B33"/>
    </sheetView>
  </sheetViews>
  <sheetFormatPr defaultColWidth="8.6640625" defaultRowHeight="14.4" x14ac:dyDescent="0.3"/>
  <cols>
    <col min="1" max="1" width="30" customWidth="1"/>
    <col min="2" max="5" width="22" customWidth="1"/>
  </cols>
  <sheetData>
    <row r="1" spans="1:5" ht="17.399999999999999" x14ac:dyDescent="0.3">
      <c r="A1" s="33" t="s">
        <v>97</v>
      </c>
      <c r="B1" s="33"/>
      <c r="C1" s="33"/>
      <c r="D1" s="33"/>
      <c r="E1" s="33"/>
    </row>
    <row r="3" spans="1:5" x14ac:dyDescent="0.3">
      <c r="A3" s="6" t="s">
        <v>79</v>
      </c>
      <c r="B3" s="6" t="s">
        <v>125</v>
      </c>
      <c r="C3" s="6" t="s">
        <v>127</v>
      </c>
      <c r="D3" s="6" t="s">
        <v>124</v>
      </c>
    </row>
    <row r="4" spans="1:5" x14ac:dyDescent="0.3">
      <c r="A4" s="32" t="s">
        <v>98</v>
      </c>
      <c r="B4" s="32"/>
      <c r="C4" s="32"/>
      <c r="D4" s="32"/>
    </row>
    <row r="5" spans="1:5" x14ac:dyDescent="0.3">
      <c r="A5" s="21" t="s">
        <v>99</v>
      </c>
      <c r="B5" s="26">
        <f>'1_SRT_Activity'!H4</f>
        <v>8.9999999999999969E-2</v>
      </c>
      <c r="C5" s="26">
        <f>'1_SRT_Activity'!H5</f>
        <v>0.11899999999999999</v>
      </c>
      <c r="D5" s="26">
        <f>'1_SRT_Activity'!H6</f>
        <v>0.28499999999999992</v>
      </c>
    </row>
    <row r="6" spans="1:5" x14ac:dyDescent="0.3">
      <c r="A6" s="21" t="s">
        <v>100</v>
      </c>
      <c r="B6" s="26">
        <f>'4_Attendance_%'!E4</f>
        <v>0.12734864300626306</v>
      </c>
      <c r="C6" s="26">
        <f>'4_Attendance_%'!E5</f>
        <v>0.1101813110181311</v>
      </c>
      <c r="D6" s="26">
        <f>'4_Attendance_%'!E6</f>
        <v>0.17051509769094139</v>
      </c>
    </row>
    <row r="7" spans="1:5" x14ac:dyDescent="0.3">
      <c r="A7" s="21" t="s">
        <v>101</v>
      </c>
      <c r="B7" s="26">
        <f>'4_Attendance_%'!F4</f>
        <v>3.7578288100208766E-2</v>
      </c>
      <c r="C7" s="26">
        <f>'4_Attendance_%'!F5</f>
        <v>5.2998605299860529E-2</v>
      </c>
      <c r="D7" s="26">
        <f>'4_Attendance_%'!F6</f>
        <v>0.10834813499111901</v>
      </c>
    </row>
    <row r="8" spans="1:5" x14ac:dyDescent="0.3">
      <c r="A8" s="21" t="s">
        <v>102</v>
      </c>
      <c r="B8" s="26">
        <f>'5_Attrition'!I11/12</f>
        <v>4.9024319907718921E-3</v>
      </c>
      <c r="C8" s="26">
        <f>'5_Attrition'!I20/12</f>
        <v>2.4844720496894412E-2</v>
      </c>
      <c r="D8" s="26">
        <f>'5_Attrition'!I29/12</f>
        <v>5.3846153846153849E-2</v>
      </c>
    </row>
    <row r="9" spans="1:5" x14ac:dyDescent="0.3">
      <c r="A9" s="27" t="s">
        <v>103</v>
      </c>
      <c r="B9" s="10">
        <f>SUM(B5:B8)</f>
        <v>0.25982936309724369</v>
      </c>
      <c r="C9" s="10">
        <f>SUM(C5:C8)</f>
        <v>0.30702463681488606</v>
      </c>
      <c r="D9" s="10">
        <f>SUM(D5:D8)</f>
        <v>0.61770938652821417</v>
      </c>
    </row>
    <row r="11" spans="1:5" x14ac:dyDescent="0.3">
      <c r="A11" s="32" t="s">
        <v>104</v>
      </c>
      <c r="B11" s="32"/>
      <c r="C11" s="32"/>
      <c r="D11" s="32"/>
    </row>
    <row r="12" spans="1:5" x14ac:dyDescent="0.3">
      <c r="A12" s="21" t="s">
        <v>105</v>
      </c>
      <c r="B12" s="9">
        <f>B9/(1-B9)</f>
        <v>0.35103981452776828</v>
      </c>
      <c r="C12" s="9">
        <f>C9/(1-C9)</f>
        <v>0.44305274491103497</v>
      </c>
      <c r="D12" s="9">
        <f>D9/(1-D9)</f>
        <v>1.6158110211455738</v>
      </c>
    </row>
    <row r="13" spans="1:5" x14ac:dyDescent="0.3">
      <c r="A13" s="21" t="s">
        <v>106</v>
      </c>
      <c r="B13" s="22">
        <f>'2_FTE_Demand'!D6</f>
        <v>49</v>
      </c>
      <c r="C13" s="22">
        <f>'2_FTE_Demand'!D7</f>
        <v>75</v>
      </c>
      <c r="D13" s="22">
        <f>'2_FTE_Demand'!D8</f>
        <v>30</v>
      </c>
    </row>
    <row r="14" spans="1:5" x14ac:dyDescent="0.3">
      <c r="A14" s="21" t="s">
        <v>107</v>
      </c>
      <c r="B14" s="15">
        <f>ROUNDUP(B13*B12,0)</f>
        <v>18</v>
      </c>
      <c r="C14" s="15">
        <f>ROUNDUP(C13*C12,0)</f>
        <v>34</v>
      </c>
      <c r="D14" s="15">
        <f>ROUNDUP(D13*D12,0)</f>
        <v>49</v>
      </c>
    </row>
    <row r="15" spans="1:5" x14ac:dyDescent="0.3">
      <c r="A15" s="27" t="s">
        <v>108</v>
      </c>
      <c r="B15" s="28">
        <f>B13+B14</f>
        <v>67</v>
      </c>
      <c r="C15" s="28">
        <f>C13+C14</f>
        <v>109</v>
      </c>
      <c r="D15" s="28">
        <f>D13+D14</f>
        <v>79</v>
      </c>
    </row>
    <row r="17" spans="1:4" x14ac:dyDescent="0.3">
      <c r="A17" s="32" t="s">
        <v>109</v>
      </c>
      <c r="B17" s="32"/>
      <c r="C17" s="32"/>
      <c r="D17" s="32"/>
    </row>
    <row r="18" spans="1:4" x14ac:dyDescent="0.3">
      <c r="A18" s="21" t="s">
        <v>110</v>
      </c>
      <c r="B18" s="22">
        <f>'2_FTE_Demand'!E6</f>
        <v>50</v>
      </c>
      <c r="C18" s="22">
        <f>'2_FTE_Demand'!E7</f>
        <v>80</v>
      </c>
      <c r="D18" s="22">
        <f>'2_FTE_Demand'!E8</f>
        <v>35</v>
      </c>
    </row>
    <row r="19" spans="1:4" x14ac:dyDescent="0.3">
      <c r="A19" s="21" t="s">
        <v>111</v>
      </c>
      <c r="B19" s="17">
        <f>B18-B15</f>
        <v>-17</v>
      </c>
      <c r="C19" s="17">
        <f>C18-C15</f>
        <v>-29</v>
      </c>
      <c r="D19" s="17">
        <f>D18-D15</f>
        <v>-44</v>
      </c>
    </row>
    <row r="20" spans="1:4" x14ac:dyDescent="0.3">
      <c r="A20" s="7" t="s">
        <v>112</v>
      </c>
      <c r="B20" s="29" t="str">
        <f>IF(B19&lt;-2,"HIRE "&amp;ABS(B19)&amp;" people",IF(B19&gt;2,"OVER by "&amp;B19&amp;", redeploy or freeze","HOLD — within tolerance"))</f>
        <v>HIRE 17 people</v>
      </c>
      <c r="C20" s="29" t="str">
        <f>IF(C19&lt;-2,"HIRE "&amp;ABS(C19)&amp;" people",IF(C19&gt;2,"OVER by "&amp;C19&amp;", redeploy or freeze","HOLD — within tolerance"))</f>
        <v>HIRE 29 people</v>
      </c>
      <c r="D20" s="29" t="str">
        <f>IF(D19&lt;-2,"HIRE "&amp;ABS(D19)&amp;" people",IF(D19&gt;2,"OVER by "&amp;D19&amp;", redeploy or freeze","HOLD — within tolerance"))</f>
        <v>HIRE 44 people</v>
      </c>
    </row>
    <row r="22" spans="1:4" x14ac:dyDescent="0.3">
      <c r="A22" s="32" t="s">
        <v>113</v>
      </c>
      <c r="B22" s="32"/>
      <c r="C22" s="32"/>
      <c r="D22" s="32"/>
    </row>
    <row r="23" spans="1:4" x14ac:dyDescent="0.3">
      <c r="A23" s="21" t="s">
        <v>114</v>
      </c>
      <c r="B23" s="18" t="str">
        <f>INDEX({"Internal Activity","Planned Leave","Unplanned Absent","Attrition"},MATCH(MAX(B5:B8),B5:B8,0))</f>
        <v>Planned Leave</v>
      </c>
      <c r="C23" s="18" t="str">
        <f>INDEX({"Internal Activity","Planned Leave","Unplanned Absent","Attrition"},MATCH(MAX(C5:C8),C5:C8,0))</f>
        <v>Internal Activity</v>
      </c>
      <c r="D23" s="18" t="str">
        <f>INDEX({"Internal Activity","Planned Leave","Unplanned Absent","Attrition"},MATCH(MAX(D5:D8),D5:D8,0))</f>
        <v>Internal Activity</v>
      </c>
    </row>
    <row r="24" spans="1:4" x14ac:dyDescent="0.3">
      <c r="A24" s="21" t="s">
        <v>115</v>
      </c>
      <c r="B24" s="18" t="str">
        <f>IF(B23="Internal Activity","Reduce meetings/training time",IF(B23="Planned Leave","Throttle leave approvals",IF(B23="Unplanned Absent","Engagement/culture intervention","Recruitment + retention program")))</f>
        <v>Throttle leave approvals</v>
      </c>
      <c r="C24" s="18" t="str">
        <f>IF(C23="Internal Activity","Reduce meetings/training time",IF(C23="Planned Leave","Throttle leave approvals",IF(C23="Unplanned Absent","Engagement/culture intervention","Recruitment + retention program")))</f>
        <v>Reduce meetings/training time</v>
      </c>
      <c r="D24" s="18" t="str">
        <f>IF(D23="Internal Activity","Reduce meetings/training time",IF(D23="Planned Leave","Throttle leave approvals",IF(D23="Unplanned Absent","Engagement/culture intervention","Recruitment + retention program")))</f>
        <v>Reduce meetings/training time</v>
      </c>
    </row>
    <row r="26" spans="1:4" x14ac:dyDescent="0.3">
      <c r="A26" s="32" t="s">
        <v>116</v>
      </c>
      <c r="B26" s="32"/>
      <c r="C26" s="32"/>
      <c r="D26" s="32"/>
    </row>
    <row r="27" spans="1:4" x14ac:dyDescent="0.3">
      <c r="A27" s="31" t="s">
        <v>117</v>
      </c>
      <c r="B27" s="31"/>
      <c r="C27" s="31"/>
      <c r="D27" s="31"/>
    </row>
    <row r="28" spans="1:4" x14ac:dyDescent="0.3">
      <c r="A28" s="31" t="s">
        <v>118</v>
      </c>
      <c r="B28" s="31"/>
      <c r="C28" s="31"/>
      <c r="D28" s="31"/>
    </row>
    <row r="29" spans="1:4" x14ac:dyDescent="0.3">
      <c r="A29" s="31" t="s">
        <v>119</v>
      </c>
      <c r="B29" s="31"/>
      <c r="C29" s="31"/>
      <c r="D29" s="31"/>
    </row>
    <row r="30" spans="1:4" x14ac:dyDescent="0.3">
      <c r="A30" s="31" t="s">
        <v>120</v>
      </c>
      <c r="B30" s="31"/>
      <c r="C30" s="31"/>
      <c r="D30" s="31"/>
    </row>
    <row r="31" spans="1:4" x14ac:dyDescent="0.3">
      <c r="A31" s="31" t="s">
        <v>121</v>
      </c>
      <c r="B31" s="31"/>
      <c r="C31" s="31"/>
      <c r="D31" s="31"/>
    </row>
    <row r="32" spans="1:4" x14ac:dyDescent="0.3">
      <c r="A32" s="31" t="s">
        <v>122</v>
      </c>
      <c r="B32" s="31"/>
      <c r="C32" s="31"/>
      <c r="D32" s="31"/>
    </row>
  </sheetData>
  <mergeCells count="12">
    <mergeCell ref="A1:E1"/>
    <mergeCell ref="A4:D4"/>
    <mergeCell ref="A11:D11"/>
    <mergeCell ref="A17:D17"/>
    <mergeCell ref="A22:D22"/>
    <mergeCell ref="A31:D31"/>
    <mergeCell ref="A32:D32"/>
    <mergeCell ref="A26:D26"/>
    <mergeCell ref="A27:D27"/>
    <mergeCell ref="A28:D28"/>
    <mergeCell ref="A29:D29"/>
    <mergeCell ref="A30:D3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0_README</vt:lpstr>
      <vt:lpstr>1_SRT_Activity</vt:lpstr>
      <vt:lpstr>2_FTE_Demand</vt:lpstr>
      <vt:lpstr>3_Weekly_Raw</vt:lpstr>
      <vt:lpstr>4_Attendance_%</vt:lpstr>
      <vt:lpstr>5_Attrition</vt:lpstr>
      <vt:lpstr>6_BUFFER_MASTER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Minh - Lộ Công</cp:lastModifiedBy>
  <cp:revision>0</cp:revision>
  <dcterms:created xsi:type="dcterms:W3CDTF">2026-05-13T17:30:23Z</dcterms:created>
  <dcterms:modified xsi:type="dcterms:W3CDTF">2026-05-14T17:30:49Z</dcterms:modified>
  <dc:language>en-US</dc:language>
</cp:coreProperties>
</file>