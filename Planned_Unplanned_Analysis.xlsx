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con\Downloads\"/>
    </mc:Choice>
  </mc:AlternateContent>
  <xr:revisionPtr revIDLastSave="0" documentId="13_ncr:1_{EBB94FB9-39C6-49E6-8A6F-B692A4D582CB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1_Filters" sheetId="1" r:id="rId1"/>
    <sheet name="2_By_Week" sheetId="2" r:id="rId2"/>
    <sheet name="3_By_Market" sheetId="3" r:id="rId3"/>
    <sheet name="4_Market_x_Week" sheetId="4" r:id="rId4"/>
    <sheet name="5_Finding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F7" i="3" s="1"/>
  <c r="C7" i="3"/>
  <c r="E7" i="3" s="1"/>
  <c r="G7" i="3" s="1"/>
  <c r="B7" i="3"/>
  <c r="F6" i="3"/>
  <c r="E6" i="3"/>
  <c r="G6" i="3" s="1"/>
  <c r="F5" i="3"/>
  <c r="E5" i="3"/>
  <c r="G5" i="3" s="1"/>
  <c r="F4" i="3"/>
  <c r="E4" i="3"/>
  <c r="G4" i="3" s="1"/>
  <c r="D13" i="2"/>
  <c r="F13" i="2" s="1"/>
  <c r="C13" i="2"/>
  <c r="E13" i="2" s="1"/>
  <c r="G13" i="2" s="1"/>
  <c r="B13" i="2"/>
  <c r="F12" i="2"/>
  <c r="E12" i="2"/>
  <c r="G12" i="2" s="1"/>
  <c r="F11" i="2"/>
  <c r="E11" i="2"/>
  <c r="G11" i="2" s="1"/>
  <c r="F10" i="2"/>
  <c r="E10" i="2"/>
  <c r="G10" i="2" s="1"/>
  <c r="F9" i="2"/>
  <c r="E9" i="2"/>
  <c r="G9" i="2" s="1"/>
  <c r="F8" i="2"/>
  <c r="E8" i="2"/>
  <c r="G8" i="2" s="1"/>
  <c r="F7" i="2"/>
  <c r="E7" i="2"/>
  <c r="G7" i="2" s="1"/>
  <c r="F6" i="2"/>
  <c r="E6" i="2"/>
  <c r="G6" i="2" s="1"/>
  <c r="F5" i="2"/>
  <c r="E5" i="2"/>
  <c r="G5" i="2" s="1"/>
  <c r="F4" i="2"/>
  <c r="E4" i="2"/>
  <c r="G4" i="2" s="1"/>
</calcChain>
</file>

<file path=xl/sharedStrings.xml><?xml version="1.0" encoding="utf-8"?>
<sst xmlns="http://schemas.openxmlformats.org/spreadsheetml/2006/main" count="95" uniqueCount="75">
  <si>
    <t>Week Ending range:</t>
  </si>
  <si>
    <t>2025-02-07 to 2025-04-04 (9 weeks)</t>
  </si>
  <si>
    <t>Markets:</t>
  </si>
  <si>
    <t>Sub-LOB:</t>
  </si>
  <si>
    <t>Designation:</t>
  </si>
  <si>
    <t>Status:</t>
  </si>
  <si>
    <t>Production</t>
  </si>
  <si>
    <t>Total scheduled days:</t>
  </si>
  <si>
    <t>Total planned leave:</t>
  </si>
  <si>
    <t>Total absences:</t>
  </si>
  <si>
    <t>ATTENDANCE SHRINKAGE BY WEEK</t>
  </si>
  <si>
    <t>WE</t>
  </si>
  <si>
    <t>Count of SCH</t>
  </si>
  <si>
    <t>Count of Planned</t>
  </si>
  <si>
    <t>Count of Absent</t>
  </si>
  <si>
    <t>Planned %</t>
  </si>
  <si>
    <t>Unplanned %</t>
  </si>
  <si>
    <t>Total Shrinkage %</t>
  </si>
  <si>
    <t>GRAND TOTAL</t>
  </si>
  <si>
    <t>ATTENDANCE SHRINKAGE BY MARKET</t>
  </si>
  <si>
    <t>Market</t>
  </si>
  <si>
    <t>UNPLANNED ABSENTEEISM % — MARKET × WEEK</t>
  </si>
  <si>
    <t>Metric</t>
  </si>
  <si>
    <t>02-07</t>
  </si>
  <si>
    <t>02-14</t>
  </si>
  <si>
    <t>02-21</t>
  </si>
  <si>
    <t>02-28</t>
  </si>
  <si>
    <t>03-07</t>
  </si>
  <si>
    <t>03-14</t>
  </si>
  <si>
    <t>03-21</t>
  </si>
  <si>
    <t>03-28</t>
  </si>
  <si>
    <t>04-04</t>
  </si>
  <si>
    <t>Schedule</t>
  </si>
  <si>
    <t>NOTES</t>
  </si>
  <si>
    <t>• Red highlight = unplanned absenteeism &gt; 10% (action threshold)</t>
  </si>
  <si>
    <t>• Planned % = Count of Planned / Count of Schedule</t>
  </si>
  <si>
    <t>• Unplanned % = Count of Absent / Count of Schedule</t>
  </si>
  <si>
    <t>• Total Attendance Shrinkage % = Planned % + Unplanned %</t>
  </si>
  <si>
    <t>KEY FINDINGS FROM THE FILTERED DATA</t>
  </si>
  <si>
    <t>1. OVERALL HEADLINE NUMBERS (9 weeks, 3 markets, 4,050 scheduled shifts)</t>
  </si>
  <si>
    <t xml:space="preserve">   • Planned Leave %:   10.50%</t>
  </si>
  <si>
    <t xml:space="preserve">   • Unplanned Absent %: 7.71%</t>
  </si>
  <si>
    <t xml:space="preserve">   • Total Attendance Shrinkage: 18.21%</t>
  </si>
  <si>
    <t>2. CANTONESE IS THE PROBLEM MARKET</t>
  </si>
  <si>
    <t xml:space="preserve">   → Recommend root-cause investigation: engagement survey, exit data, TL conversations</t>
  </si>
  <si>
    <t>3. ABSENTEEISM TRENDING UP IN LATE MARCH / EARLY APRIL</t>
  </si>
  <si>
    <t xml:space="preserve">   • W/E Mar 28: Unplanned jumps to 11.37% (from ~5-6% baseline)</t>
  </si>
  <si>
    <t xml:space="preserve">   • W/E Apr 04: Unplanned spikes to 21.09% — across all 3 markets</t>
  </si>
  <si>
    <t xml:space="preserve">   → Possible causes: incomplete week of data, holiday effect, illness cluster, post-Songkran</t>
  </si>
  <si>
    <t xml:space="preserve">   → Action: verify data completeness for Apr 04 week before drawing conclusions</t>
  </si>
  <si>
    <t>4. PLANNED LEAVE IS RELATIVELY STABLE</t>
  </si>
  <si>
    <t xml:space="preserve">   • Planned % ranges 7.6%-13.0% across weeks — normal variation</t>
  </si>
  <si>
    <t>5. WHAT THIS MEANS FOR BUFFER PLANNING</t>
  </si>
  <si>
    <t xml:space="preserve">   Using ONLY this attendance data (excluding internal activity &amp; attrition):</t>
  </si>
  <si>
    <t xml:space="preserve">   • Buffer % from attendance alone: 18.21 / (1 - 18.21) = 22.27%</t>
  </si>
  <si>
    <t xml:space="preserve">   • If you need 100 FTE on the queue, you need 123 HC for attendance buffer alone</t>
  </si>
  <si>
    <t xml:space="preserve">   • Add internal activity (15-16%) and attrition (1-5%) → total buffer 50-70%</t>
  </si>
  <si>
    <t>6. IMMEDIATE RECOMMENDATIONS</t>
  </si>
  <si>
    <t xml:space="preserve">   • Engagement intervention for Cantonese (11.9% unplanned is unsustainable)</t>
  </si>
  <si>
    <t xml:space="preserve">   • Investigate the W/E Apr 04 spike — data issue or real event?</t>
  </si>
  <si>
    <t xml:space="preserve">   • Adjust buffer model: use 8% unplanned (not 7.71%) to account for upward trend</t>
  </si>
  <si>
    <t>A</t>
  </si>
  <si>
    <t>B</t>
  </si>
  <si>
    <t>C</t>
  </si>
  <si>
    <t>A, B, C</t>
  </si>
  <si>
    <t>Agent</t>
  </si>
  <si>
    <t>Content Moderator</t>
  </si>
  <si>
    <t>Sample Data</t>
  </si>
  <si>
    <t xml:space="preserve">   • C market unplanned absenteeism: 11.91% — well above threshold</t>
  </si>
  <si>
    <t xml:space="preserve">   • A market:   7.51% (within tolerance)</t>
  </si>
  <si>
    <t xml:space="preserve">   • B market: 4.24% (best performer)</t>
  </si>
  <si>
    <t xml:space="preserve">   → C market contributes 80.5 absences from only 676 scheduled days</t>
  </si>
  <si>
    <t xml:space="preserve">   • C Market has highest planned % (13.17%) — may be over-approving leave</t>
  </si>
  <si>
    <t xml:space="preserve">   → Lever: tighten leave approvals for C market to recover some shrinkage</t>
  </si>
  <si>
    <t xml:space="preserve">   • Tighten planned leave approvals for C market specifically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</si>
</sst>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FFE6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3" fillId="0" borderId="0" xfId="0" applyNumberFormat="1" applyFont="1"/>
    <xf numFmtId="16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25" customWidth="1"/>
    <col min="2" max="2" width="50" customWidth="1"/>
  </cols>
  <sheetData>
    <row r="1" spans="1:4" ht="16.8" x14ac:dyDescent="0.3">
      <c r="A1" s="1" t="s">
        <v>67</v>
      </c>
      <c r="B1" s="1"/>
    </row>
    <row r="3" spans="1:4" x14ac:dyDescent="0.3">
      <c r="A3" s="2" t="s">
        <v>0</v>
      </c>
      <c r="B3" s="3" t="s">
        <v>1</v>
      </c>
    </row>
    <row r="4" spans="1:4" x14ac:dyDescent="0.3">
      <c r="A4" s="2" t="s">
        <v>2</v>
      </c>
      <c r="B4" s="3" t="s">
        <v>64</v>
      </c>
    </row>
    <row r="5" spans="1:4" x14ac:dyDescent="0.3">
      <c r="A5" s="2" t="s">
        <v>3</v>
      </c>
      <c r="B5" s="3" t="s">
        <v>66</v>
      </c>
    </row>
    <row r="6" spans="1:4" x14ac:dyDescent="0.3">
      <c r="A6" s="2" t="s">
        <v>4</v>
      </c>
      <c r="B6" s="3" t="s">
        <v>65</v>
      </c>
    </row>
    <row r="7" spans="1:4" x14ac:dyDescent="0.3">
      <c r="A7" s="2" t="s">
        <v>5</v>
      </c>
      <c r="B7" s="3" t="s">
        <v>6</v>
      </c>
    </row>
    <row r="8" spans="1:4" x14ac:dyDescent="0.3">
      <c r="A8" s="2"/>
      <c r="B8" s="3"/>
    </row>
    <row r="9" spans="1:4" x14ac:dyDescent="0.3">
      <c r="A9" s="2" t="s">
        <v>7</v>
      </c>
      <c r="B9" s="19">
        <v>3665</v>
      </c>
      <c r="C9" s="17"/>
      <c r="D9" s="17"/>
    </row>
    <row r="10" spans="1:4" x14ac:dyDescent="0.3">
      <c r="A10" s="2" t="s">
        <v>8</v>
      </c>
      <c r="B10" s="19">
        <v>385</v>
      </c>
      <c r="C10" s="17"/>
      <c r="D10" s="17"/>
    </row>
    <row r="11" spans="1:4" x14ac:dyDescent="0.3">
      <c r="A11" s="2" t="s">
        <v>9</v>
      </c>
      <c r="B11" s="19">
        <v>282.5</v>
      </c>
      <c r="C11" s="17"/>
      <c r="D11" s="17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selection activeCell="E4" sqref="A4:XFD4"/>
    </sheetView>
  </sheetViews>
  <sheetFormatPr defaultColWidth="8.6640625" defaultRowHeight="14.4" x14ac:dyDescent="0.3"/>
  <cols>
    <col min="1" max="7" width="16" customWidth="1"/>
  </cols>
  <sheetData>
    <row r="1" spans="1:7" ht="16.8" x14ac:dyDescent="0.3">
      <c r="A1" s="1" t="s">
        <v>10</v>
      </c>
      <c r="B1" s="1"/>
      <c r="C1" s="1"/>
      <c r="D1" s="1"/>
      <c r="E1" s="1"/>
      <c r="F1" s="1"/>
      <c r="G1" s="1"/>
    </row>
    <row r="3" spans="1:7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 x14ac:dyDescent="0.3">
      <c r="A4" s="18">
        <v>46060</v>
      </c>
      <c r="B4" s="6">
        <v>444</v>
      </c>
      <c r="C4" s="6">
        <v>43</v>
      </c>
      <c r="D4" s="6">
        <v>22</v>
      </c>
      <c r="E4" s="7">
        <f t="shared" ref="E4:E13" si="0">C4/B4</f>
        <v>9.6846846846846843E-2</v>
      </c>
      <c r="F4" s="7">
        <f t="shared" ref="F4:F13" si="1">D4/B4</f>
        <v>4.954954954954955E-2</v>
      </c>
      <c r="G4" s="8">
        <f t="shared" ref="G4:G13" si="2">E4+F4</f>
        <v>0.1463963963963964</v>
      </c>
    </row>
    <row r="5" spans="1:7" x14ac:dyDescent="0.3">
      <c r="A5" s="18">
        <v>46067</v>
      </c>
      <c r="B5" s="6">
        <v>444</v>
      </c>
      <c r="C5" s="6">
        <v>36</v>
      </c>
      <c r="D5" s="6">
        <v>34.5</v>
      </c>
      <c r="E5" s="7">
        <f t="shared" si="0"/>
        <v>8.1081081081081086E-2</v>
      </c>
      <c r="F5" s="7">
        <f t="shared" si="1"/>
        <v>7.77027027027027E-2</v>
      </c>
      <c r="G5" s="8">
        <f t="shared" si="2"/>
        <v>0.15878378378378377</v>
      </c>
    </row>
    <row r="6" spans="1:7" x14ac:dyDescent="0.3">
      <c r="A6" s="18">
        <v>46074</v>
      </c>
      <c r="B6" s="6">
        <v>446</v>
      </c>
      <c r="C6" s="6">
        <v>34</v>
      </c>
      <c r="D6" s="6">
        <v>38</v>
      </c>
      <c r="E6" s="7">
        <f t="shared" si="0"/>
        <v>7.623318385650224E-2</v>
      </c>
      <c r="F6" s="7">
        <f t="shared" si="1"/>
        <v>8.520179372197309E-2</v>
      </c>
      <c r="G6" s="8">
        <f t="shared" si="2"/>
        <v>0.16143497757847533</v>
      </c>
    </row>
    <row r="7" spans="1:7" x14ac:dyDescent="0.3">
      <c r="A7" s="18">
        <v>46081</v>
      </c>
      <c r="B7" s="6">
        <v>431</v>
      </c>
      <c r="C7" s="6">
        <v>49</v>
      </c>
      <c r="D7" s="6">
        <v>21</v>
      </c>
      <c r="E7" s="7">
        <f t="shared" si="0"/>
        <v>0.1136890951276102</v>
      </c>
      <c r="F7" s="7">
        <f t="shared" si="1"/>
        <v>4.8723897911832945E-2</v>
      </c>
      <c r="G7" s="8">
        <f t="shared" si="2"/>
        <v>0.16241299303944315</v>
      </c>
    </row>
    <row r="8" spans="1:7" x14ac:dyDescent="0.3">
      <c r="A8" s="18">
        <v>46088</v>
      </c>
      <c r="B8" s="6">
        <v>424</v>
      </c>
      <c r="C8" s="6">
        <v>48</v>
      </c>
      <c r="D8" s="6">
        <v>24.5</v>
      </c>
      <c r="E8" s="7">
        <f t="shared" si="0"/>
        <v>0.11320754716981132</v>
      </c>
      <c r="F8" s="7">
        <f t="shared" si="1"/>
        <v>5.7783018867924529E-2</v>
      </c>
      <c r="G8" s="8">
        <f t="shared" si="2"/>
        <v>0.17099056603773585</v>
      </c>
    </row>
    <row r="9" spans="1:7" x14ac:dyDescent="0.3">
      <c r="A9" s="18">
        <v>46095</v>
      </c>
      <c r="B9" s="6">
        <v>424</v>
      </c>
      <c r="C9" s="6">
        <v>45</v>
      </c>
      <c r="D9" s="6">
        <v>26.5</v>
      </c>
      <c r="E9" s="7">
        <f t="shared" si="0"/>
        <v>0.10613207547169812</v>
      </c>
      <c r="F9" s="7">
        <f t="shared" si="1"/>
        <v>6.25E-2</v>
      </c>
      <c r="G9" s="8">
        <f t="shared" si="2"/>
        <v>0.16863207547169812</v>
      </c>
    </row>
    <row r="10" spans="1:7" x14ac:dyDescent="0.3">
      <c r="A10" s="18">
        <v>46102</v>
      </c>
      <c r="B10" s="6">
        <v>419</v>
      </c>
      <c r="C10" s="6">
        <v>51</v>
      </c>
      <c r="D10" s="6">
        <v>23.5</v>
      </c>
      <c r="E10" s="7">
        <f t="shared" si="0"/>
        <v>0.12171837708830549</v>
      </c>
      <c r="F10" s="7">
        <f t="shared" si="1"/>
        <v>5.6085918854415273E-2</v>
      </c>
      <c r="G10" s="8">
        <f t="shared" si="2"/>
        <v>0.17780429594272076</v>
      </c>
    </row>
    <row r="11" spans="1:7" x14ac:dyDescent="0.3">
      <c r="A11" s="18">
        <v>46109</v>
      </c>
      <c r="B11" s="6">
        <v>422</v>
      </c>
      <c r="C11" s="6">
        <v>55</v>
      </c>
      <c r="D11" s="6">
        <v>48</v>
      </c>
      <c r="E11" s="7">
        <f t="shared" si="0"/>
        <v>0.13033175355450238</v>
      </c>
      <c r="F11" s="7">
        <f t="shared" si="1"/>
        <v>0.11374407582938388</v>
      </c>
      <c r="G11" s="8">
        <f t="shared" si="2"/>
        <v>0.24407582938388628</v>
      </c>
    </row>
    <row r="12" spans="1:7" x14ac:dyDescent="0.3">
      <c r="A12" s="18">
        <v>46116</v>
      </c>
      <c r="B12" s="6">
        <v>211</v>
      </c>
      <c r="C12" s="6">
        <v>24</v>
      </c>
      <c r="D12" s="6">
        <v>44.5</v>
      </c>
      <c r="E12" s="7">
        <f t="shared" si="0"/>
        <v>0.11374407582938388</v>
      </c>
      <c r="F12" s="7">
        <f t="shared" si="1"/>
        <v>0.2109004739336493</v>
      </c>
      <c r="G12" s="8">
        <f t="shared" si="2"/>
        <v>0.3246445497630332</v>
      </c>
    </row>
    <row r="13" spans="1:7" x14ac:dyDescent="0.3">
      <c r="A13" s="9" t="s">
        <v>18</v>
      </c>
      <c r="B13" s="10">
        <f>SUM(B4:B12)</f>
        <v>3665</v>
      </c>
      <c r="C13" s="10">
        <f>SUM(C4:C12)</f>
        <v>385</v>
      </c>
      <c r="D13" s="10">
        <f>SUM(D4:D12)</f>
        <v>282.5</v>
      </c>
      <c r="E13" s="11">
        <f t="shared" si="0"/>
        <v>0.10504774897680765</v>
      </c>
      <c r="F13" s="11">
        <f t="shared" si="1"/>
        <v>7.7080491132332882E-2</v>
      </c>
      <c r="G13" s="11">
        <f t="shared" si="2"/>
        <v>0.18212824010914053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selection activeCell="A6" sqref="A6"/>
    </sheetView>
  </sheetViews>
  <sheetFormatPr defaultColWidth="8.6640625" defaultRowHeight="14.4" x14ac:dyDescent="0.3"/>
  <cols>
    <col min="1" max="7" width="16" customWidth="1"/>
  </cols>
  <sheetData>
    <row r="1" spans="1:7" ht="16.8" x14ac:dyDescent="0.3">
      <c r="A1" s="1" t="s">
        <v>19</v>
      </c>
      <c r="B1" s="1"/>
      <c r="C1" s="1"/>
      <c r="D1" s="1"/>
      <c r="E1" s="1"/>
      <c r="F1" s="1"/>
      <c r="G1" s="1"/>
    </row>
    <row r="3" spans="1:7" x14ac:dyDescent="0.3">
      <c r="A3" s="4" t="s">
        <v>20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 x14ac:dyDescent="0.3">
      <c r="A4" s="5" t="s">
        <v>61</v>
      </c>
      <c r="B4" s="6">
        <v>2305</v>
      </c>
      <c r="C4" s="6">
        <v>226</v>
      </c>
      <c r="D4" s="6">
        <v>173</v>
      </c>
      <c r="E4" s="7">
        <f>C4/B4</f>
        <v>9.8047722342733193E-2</v>
      </c>
      <c r="F4" s="7">
        <f>D4/B4</f>
        <v>7.5054229934924083E-2</v>
      </c>
      <c r="G4" s="8">
        <f>E4+F4</f>
        <v>0.17310195227765729</v>
      </c>
    </row>
    <row r="5" spans="1:7" x14ac:dyDescent="0.3">
      <c r="A5" s="5" t="s">
        <v>62</v>
      </c>
      <c r="B5" s="6">
        <v>684</v>
      </c>
      <c r="C5" s="6">
        <v>70</v>
      </c>
      <c r="D5" s="6">
        <v>29</v>
      </c>
      <c r="E5" s="7">
        <f>C5/B5</f>
        <v>0.1023391812865497</v>
      </c>
      <c r="F5" s="7">
        <f>D5/B5</f>
        <v>4.2397660818713448E-2</v>
      </c>
      <c r="G5" s="8">
        <f>E5+F5</f>
        <v>0.14473684210526316</v>
      </c>
    </row>
    <row r="6" spans="1:7" x14ac:dyDescent="0.3">
      <c r="A6" s="5" t="s">
        <v>63</v>
      </c>
      <c r="B6" s="6">
        <v>676</v>
      </c>
      <c r="C6" s="6">
        <v>89</v>
      </c>
      <c r="D6" s="6">
        <v>80.5</v>
      </c>
      <c r="E6" s="7">
        <f>C6/B6</f>
        <v>0.13165680473372782</v>
      </c>
      <c r="F6" s="7">
        <f>D6/B6</f>
        <v>0.11908284023668639</v>
      </c>
      <c r="G6" s="8">
        <f>E6+F6</f>
        <v>0.25073964497041423</v>
      </c>
    </row>
    <row r="7" spans="1:7" x14ac:dyDescent="0.3">
      <c r="A7" s="9" t="s">
        <v>18</v>
      </c>
      <c r="B7" s="10">
        <f>SUM(B4:B6)</f>
        <v>3665</v>
      </c>
      <c r="C7" s="10">
        <f>SUM(C4:C6)</f>
        <v>385</v>
      </c>
      <c r="D7" s="10">
        <f>SUM(D4:D6)</f>
        <v>282.5</v>
      </c>
      <c r="E7" s="11">
        <f>C7/B7</f>
        <v>0.10504774897680765</v>
      </c>
      <c r="F7" s="11">
        <f>D7/B7</f>
        <v>7.7080491132332882E-2</v>
      </c>
      <c r="G7" s="11">
        <f>E7+F7</f>
        <v>0.18212824010914053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zoomScaleNormal="100" workbookViewId="0">
      <selection activeCell="F20" sqref="F20"/>
    </sheetView>
  </sheetViews>
  <sheetFormatPr defaultColWidth="8.6640625" defaultRowHeight="14.4" x14ac:dyDescent="0.3"/>
  <cols>
    <col min="1" max="1" width="22" customWidth="1"/>
    <col min="2" max="2" width="14" customWidth="1"/>
    <col min="3" max="11" width="11" customWidth="1"/>
  </cols>
  <sheetData>
    <row r="1" spans="1:11" ht="16.8" x14ac:dyDescent="0.3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3">
      <c r="A3" s="4" t="s">
        <v>20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</row>
    <row r="4" spans="1:11" x14ac:dyDescent="0.3">
      <c r="A4" s="12" t="s">
        <v>61</v>
      </c>
      <c r="B4" s="5" t="s">
        <v>32</v>
      </c>
      <c r="C4" s="6">
        <v>275</v>
      </c>
      <c r="D4" s="6">
        <v>276</v>
      </c>
      <c r="E4" s="6">
        <v>275</v>
      </c>
      <c r="F4" s="6">
        <v>269</v>
      </c>
      <c r="G4" s="6">
        <v>271</v>
      </c>
      <c r="H4" s="6">
        <v>268</v>
      </c>
      <c r="I4" s="6">
        <v>270</v>
      </c>
      <c r="J4" s="6">
        <v>266</v>
      </c>
      <c r="K4" s="6">
        <v>135</v>
      </c>
    </row>
    <row r="5" spans="1:11" x14ac:dyDescent="0.3">
      <c r="A5" s="5"/>
      <c r="B5" s="5" t="s">
        <v>16</v>
      </c>
      <c r="C5" s="7">
        <v>4.72727272727273E-2</v>
      </c>
      <c r="D5" s="7">
        <v>8.5144927536231901E-2</v>
      </c>
      <c r="E5" s="7">
        <v>6.7272727272727303E-2</v>
      </c>
      <c r="F5" s="7">
        <v>4.08921933085502E-2</v>
      </c>
      <c r="G5" s="7">
        <v>5.1660516605166101E-2</v>
      </c>
      <c r="H5" s="7">
        <v>5.22388059701493E-2</v>
      </c>
      <c r="I5" s="7">
        <v>5.1851851851851899E-2</v>
      </c>
      <c r="J5" s="13">
        <v>0.13157894736842099</v>
      </c>
      <c r="K5" s="13">
        <v>0.22222222222222199</v>
      </c>
    </row>
    <row r="6" spans="1:11" x14ac:dyDescent="0.3">
      <c r="A6" s="5"/>
      <c r="B6" s="5" t="s">
        <v>15</v>
      </c>
      <c r="C6" s="7">
        <v>9.0909090909090898E-2</v>
      </c>
      <c r="D6" s="7">
        <v>8.6956521739130405E-2</v>
      </c>
      <c r="E6" s="7">
        <v>9.0909090909090898E-2</v>
      </c>
      <c r="F6" s="7">
        <v>0.11524163568773201</v>
      </c>
      <c r="G6" s="7">
        <v>8.8560885608856096E-2</v>
      </c>
      <c r="H6" s="7">
        <v>0.100746268656716</v>
      </c>
      <c r="I6" s="7">
        <v>9.2592592592592601E-2</v>
      </c>
      <c r="J6" s="7">
        <v>0.10902255639097699</v>
      </c>
      <c r="K6" s="7">
        <v>0.11851851851851899</v>
      </c>
    </row>
    <row r="7" spans="1:11" x14ac:dyDescent="0.3">
      <c r="A7" s="12" t="s">
        <v>62</v>
      </c>
      <c r="B7" s="5" t="s">
        <v>32</v>
      </c>
      <c r="C7" s="6">
        <v>84</v>
      </c>
      <c r="D7" s="6">
        <v>84</v>
      </c>
      <c r="E7" s="6">
        <v>85</v>
      </c>
      <c r="F7" s="6">
        <v>80</v>
      </c>
      <c r="G7" s="6">
        <v>77</v>
      </c>
      <c r="H7" s="6">
        <v>75</v>
      </c>
      <c r="I7" s="6">
        <v>77</v>
      </c>
      <c r="J7" s="6">
        <v>78</v>
      </c>
      <c r="K7" s="6">
        <v>43</v>
      </c>
    </row>
    <row r="8" spans="1:11" x14ac:dyDescent="0.3">
      <c r="A8" s="5"/>
      <c r="B8" s="5" t="s">
        <v>16</v>
      </c>
      <c r="C8" s="7">
        <v>0</v>
      </c>
      <c r="D8" s="7">
        <v>1.7857142857142901E-2</v>
      </c>
      <c r="E8" s="7">
        <v>9.41176470588235E-2</v>
      </c>
      <c r="F8" s="7">
        <v>0</v>
      </c>
      <c r="G8" s="7">
        <v>3.8961038961039002E-2</v>
      </c>
      <c r="H8" s="7">
        <v>4.6357615894039701E-2</v>
      </c>
      <c r="I8" s="7">
        <v>3.8961038961039002E-2</v>
      </c>
      <c r="J8" s="7">
        <v>2.54777070063694E-2</v>
      </c>
      <c r="K8" s="13">
        <v>0.186046511627907</v>
      </c>
    </row>
    <row r="9" spans="1:11" x14ac:dyDescent="0.3">
      <c r="A9" s="5"/>
      <c r="B9" s="5" t="s">
        <v>15</v>
      </c>
      <c r="C9" s="7">
        <v>7.1428571428571397E-2</v>
      </c>
      <c r="D9" s="7">
        <v>7.1428571428571397E-2</v>
      </c>
      <c r="E9" s="7">
        <v>5.8823529411764698E-2</v>
      </c>
      <c r="F9" s="7">
        <v>0.125</v>
      </c>
      <c r="G9" s="7">
        <v>0.12987012987013</v>
      </c>
      <c r="H9" s="7">
        <v>0.112582781456954</v>
      </c>
      <c r="I9" s="7">
        <v>0.103896103896104</v>
      </c>
      <c r="J9" s="7">
        <v>0.146496815286624</v>
      </c>
      <c r="K9" s="7">
        <v>0.116279069767442</v>
      </c>
    </row>
    <row r="10" spans="1:11" x14ac:dyDescent="0.3">
      <c r="A10" s="12" t="s">
        <v>63</v>
      </c>
      <c r="B10" s="5" t="s">
        <v>32</v>
      </c>
      <c r="C10" s="6">
        <v>85</v>
      </c>
      <c r="D10" s="6">
        <v>84</v>
      </c>
      <c r="E10" s="6">
        <v>86</v>
      </c>
      <c r="F10" s="6">
        <v>82</v>
      </c>
      <c r="G10" s="6">
        <v>76</v>
      </c>
      <c r="H10" s="6">
        <v>80</v>
      </c>
      <c r="I10" s="6">
        <v>72</v>
      </c>
      <c r="J10" s="6">
        <v>77</v>
      </c>
      <c r="K10" s="6">
        <v>33</v>
      </c>
    </row>
    <row r="11" spans="1:11" x14ac:dyDescent="0.3">
      <c r="A11" s="5"/>
      <c r="B11" s="5" t="s">
        <v>16</v>
      </c>
      <c r="C11" s="13">
        <v>0.105882352941177</v>
      </c>
      <c r="D11" s="13">
        <v>0.113095238095238</v>
      </c>
      <c r="E11" s="13">
        <v>0.13372093023255799</v>
      </c>
      <c r="F11" s="13">
        <v>0.12195121951219499</v>
      </c>
      <c r="G11" s="7">
        <v>9.8684210526315805E-2</v>
      </c>
      <c r="H11" s="13">
        <v>0.111801242236025</v>
      </c>
      <c r="I11" s="7">
        <v>9.0277777777777804E-2</v>
      </c>
      <c r="J11" s="13">
        <v>0.14193548387096799</v>
      </c>
      <c r="K11" s="13">
        <v>0.19696969696969699</v>
      </c>
    </row>
    <row r="12" spans="1:11" x14ac:dyDescent="0.3">
      <c r="A12" s="5"/>
      <c r="B12" s="5" t="s">
        <v>15</v>
      </c>
      <c r="C12" s="7">
        <v>0.14117647058823499</v>
      </c>
      <c r="D12" s="7">
        <v>7.1428571428571397E-2</v>
      </c>
      <c r="E12" s="7">
        <v>4.6511627906976702E-2</v>
      </c>
      <c r="F12" s="7">
        <v>9.7560975609756101E-2</v>
      </c>
      <c r="G12" s="7">
        <v>0.18421052631578999</v>
      </c>
      <c r="H12" s="7">
        <v>0.118012422360248</v>
      </c>
      <c r="I12" s="7">
        <v>0.25</v>
      </c>
      <c r="J12" s="7">
        <v>0.187096774193548</v>
      </c>
      <c r="K12" s="7">
        <v>9.0909090909090898E-2</v>
      </c>
    </row>
    <row r="14" spans="1:11" x14ac:dyDescent="0.3">
      <c r="A14" s="2" t="s">
        <v>33</v>
      </c>
    </row>
    <row r="15" spans="1:11" x14ac:dyDescent="0.3">
      <c r="A15" s="14" t="s">
        <v>34</v>
      </c>
    </row>
    <row r="16" spans="1:11" x14ac:dyDescent="0.3">
      <c r="A16" s="14" t="s">
        <v>35</v>
      </c>
    </row>
    <row r="17" spans="1:1" x14ac:dyDescent="0.3">
      <c r="A17" s="14" t="s">
        <v>36</v>
      </c>
    </row>
    <row r="18" spans="1:1" x14ac:dyDescent="0.3">
      <c r="A18" s="14" t="s">
        <v>37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37"/>
  <sheetViews>
    <sheetView tabSelected="1" zoomScaleNormal="100" workbookViewId="0">
      <selection activeCell="D12" sqref="D12"/>
    </sheetView>
  </sheetViews>
  <sheetFormatPr defaultColWidth="8.6640625" defaultRowHeight="14.4" x14ac:dyDescent="0.3"/>
  <cols>
    <col min="1" max="1" width="4" customWidth="1"/>
    <col min="2" max="2" width="90" customWidth="1"/>
  </cols>
  <sheetData>
    <row r="1" spans="2:2" ht="17.399999999999999" x14ac:dyDescent="0.3">
      <c r="B1" s="15" t="s">
        <v>38</v>
      </c>
    </row>
    <row r="2" spans="2:2" x14ac:dyDescent="0.3">
      <c r="B2" s="3"/>
    </row>
    <row r="3" spans="2:2" x14ac:dyDescent="0.3">
      <c r="B3" s="16" t="s">
        <v>39</v>
      </c>
    </row>
    <row r="4" spans="2:2" x14ac:dyDescent="0.3">
      <c r="B4" s="3" t="s">
        <v>40</v>
      </c>
    </row>
    <row r="5" spans="2:2" x14ac:dyDescent="0.3">
      <c r="B5" s="3" t="s">
        <v>41</v>
      </c>
    </row>
    <row r="6" spans="2:2" x14ac:dyDescent="0.3">
      <c r="B6" s="3" t="s">
        <v>42</v>
      </c>
    </row>
    <row r="7" spans="2:2" x14ac:dyDescent="0.3">
      <c r="B7" s="3"/>
    </row>
    <row r="8" spans="2:2" x14ac:dyDescent="0.3">
      <c r="B8" s="16" t="s">
        <v>43</v>
      </c>
    </row>
    <row r="9" spans="2:2" x14ac:dyDescent="0.3">
      <c r="B9" s="3" t="s">
        <v>68</v>
      </c>
    </row>
    <row r="10" spans="2:2" x14ac:dyDescent="0.3">
      <c r="B10" s="3" t="s">
        <v>69</v>
      </c>
    </row>
    <row r="11" spans="2:2" x14ac:dyDescent="0.3">
      <c r="B11" s="3" t="s">
        <v>70</v>
      </c>
    </row>
    <row r="12" spans="2:2" x14ac:dyDescent="0.3">
      <c r="B12" s="3" t="s">
        <v>71</v>
      </c>
    </row>
    <row r="13" spans="2:2" x14ac:dyDescent="0.3">
      <c r="B13" s="3" t="s">
        <v>44</v>
      </c>
    </row>
    <row r="14" spans="2:2" x14ac:dyDescent="0.3">
      <c r="B14" s="3"/>
    </row>
    <row r="15" spans="2:2" x14ac:dyDescent="0.3">
      <c r="B15" s="16" t="s">
        <v>45</v>
      </c>
    </row>
    <row r="16" spans="2:2" x14ac:dyDescent="0.3">
      <c r="B16" s="3" t="s">
        <v>46</v>
      </c>
    </row>
    <row r="17" spans="2:2" x14ac:dyDescent="0.3">
      <c r="B17" s="3" t="s">
        <v>47</v>
      </c>
    </row>
    <row r="18" spans="2:2" x14ac:dyDescent="0.3">
      <c r="B18" s="3" t="s">
        <v>48</v>
      </c>
    </row>
    <row r="19" spans="2:2" x14ac:dyDescent="0.3">
      <c r="B19" s="3" t="s">
        <v>49</v>
      </c>
    </row>
    <row r="20" spans="2:2" x14ac:dyDescent="0.3">
      <c r="B20" s="3"/>
    </row>
    <row r="21" spans="2:2" x14ac:dyDescent="0.3">
      <c r="B21" s="16" t="s">
        <v>50</v>
      </c>
    </row>
    <row r="22" spans="2:2" x14ac:dyDescent="0.3">
      <c r="B22" s="3" t="s">
        <v>51</v>
      </c>
    </row>
    <row r="23" spans="2:2" x14ac:dyDescent="0.3">
      <c r="B23" s="3" t="s">
        <v>72</v>
      </c>
    </row>
    <row r="24" spans="2:2" x14ac:dyDescent="0.3">
      <c r="B24" s="3" t="s">
        <v>73</v>
      </c>
    </row>
    <row r="25" spans="2:2" x14ac:dyDescent="0.3">
      <c r="B25" s="3"/>
    </row>
    <row r="26" spans="2:2" x14ac:dyDescent="0.3">
      <c r="B26" s="16" t="s">
        <v>52</v>
      </c>
    </row>
    <row r="27" spans="2:2" x14ac:dyDescent="0.3">
      <c r="B27" s="3" t="s">
        <v>53</v>
      </c>
    </row>
    <row r="28" spans="2:2" x14ac:dyDescent="0.3">
      <c r="B28" s="3" t="s">
        <v>42</v>
      </c>
    </row>
    <row r="29" spans="2:2" x14ac:dyDescent="0.3">
      <c r="B29" s="3" t="s">
        <v>54</v>
      </c>
    </row>
    <row r="30" spans="2:2" x14ac:dyDescent="0.3">
      <c r="B30" s="3" t="s">
        <v>55</v>
      </c>
    </row>
    <row r="31" spans="2:2" x14ac:dyDescent="0.3">
      <c r="B31" s="3" t="s">
        <v>56</v>
      </c>
    </row>
    <row r="32" spans="2:2" x14ac:dyDescent="0.3">
      <c r="B32" s="3"/>
    </row>
    <row r="33" spans="2:2" x14ac:dyDescent="0.3">
      <c r="B33" s="16" t="s">
        <v>57</v>
      </c>
    </row>
    <row r="34" spans="2:2" x14ac:dyDescent="0.3">
      <c r="B34" s="3" t="s">
        <v>58</v>
      </c>
    </row>
    <row r="35" spans="2:2" x14ac:dyDescent="0.3">
      <c r="B35" s="3" t="s">
        <v>59</v>
      </c>
    </row>
    <row r="36" spans="2:2" x14ac:dyDescent="0.3">
      <c r="B36" s="3" t="s">
        <v>60</v>
      </c>
    </row>
    <row r="37" spans="2:2" x14ac:dyDescent="0.3">
      <c r="B37" s="3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1_Filters</vt:lpstr>
      <vt:lpstr>2_By_Week</vt:lpstr>
      <vt:lpstr>3_By_Market</vt:lpstr>
      <vt:lpstr>4_Market_x_Week</vt:lpstr>
      <vt:lpstr>5_Findings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- Lộ Công</cp:lastModifiedBy>
  <cp:revision>0</cp:revision>
  <dcterms:created xsi:type="dcterms:W3CDTF">2026-05-13T17:59:45Z</dcterms:created>
  <dcterms:modified xsi:type="dcterms:W3CDTF">2026-05-14T17:21:09Z</dcterms:modified>
  <dc:language>en-US</dc:language>
</cp:coreProperties>
</file>